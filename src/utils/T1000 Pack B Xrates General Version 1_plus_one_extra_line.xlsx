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activeX/activeX70.xml" ContentType="application/vnd.ms-office.activeX+xml"/>
  <Override PartName="/xl/activeX/activeX70.bin" ContentType="application/vnd.ms-office.activeX"/>
  <Override PartName="/xl/activeX/activeX71.xml" ContentType="application/vnd.ms-office.activeX+xml"/>
  <Override PartName="/xl/activeX/activeX71.bin" ContentType="application/vnd.ms-office.activeX"/>
  <Override PartName="/xl/activeX/activeX72.xml" ContentType="application/vnd.ms-office.activeX+xml"/>
  <Override PartName="/xl/activeX/activeX72.bin" ContentType="application/vnd.ms-office.activeX"/>
  <Override PartName="/xl/activeX/activeX73.xml" ContentType="application/vnd.ms-office.activeX+xml"/>
  <Override PartName="/xl/activeX/activeX73.bin" ContentType="application/vnd.ms-office.activeX"/>
  <Override PartName="/xl/activeX/activeX74.xml" ContentType="application/vnd.ms-office.activeX+xml"/>
  <Override PartName="/xl/activeX/activeX74.bin" ContentType="application/vnd.ms-office.activeX"/>
  <Override PartName="/xl/activeX/activeX75.xml" ContentType="application/vnd.ms-office.activeX+xml"/>
  <Override PartName="/xl/activeX/activeX75.bin" ContentType="application/vnd.ms-office.activeX"/>
  <Override PartName="/xl/activeX/activeX76.xml" ContentType="application/vnd.ms-office.activeX+xml"/>
  <Override PartName="/xl/activeX/activeX76.bin" ContentType="application/vnd.ms-office.activeX"/>
  <Override PartName="/xl/activeX/activeX77.xml" ContentType="application/vnd.ms-office.activeX+xml"/>
  <Override PartName="/xl/activeX/activeX77.bin" ContentType="application/vnd.ms-office.activeX"/>
  <Override PartName="/xl/activeX/activeX78.xml" ContentType="application/vnd.ms-office.activeX+xml"/>
  <Override PartName="/xl/activeX/activeX78.bin" ContentType="application/vnd.ms-office.activeX"/>
  <Override PartName="/xl/activeX/activeX79.xml" ContentType="application/vnd.ms-office.activeX+xml"/>
  <Override PartName="/xl/activeX/activeX79.bin" ContentType="application/vnd.ms-office.activeX"/>
  <Override PartName="/xl/activeX/activeX80.xml" ContentType="application/vnd.ms-office.activeX+xml"/>
  <Override PartName="/xl/activeX/activeX80.bin" ContentType="application/vnd.ms-office.activeX"/>
  <Override PartName="/xl/activeX/activeX81.xml" ContentType="application/vnd.ms-office.activeX+xml"/>
  <Override PartName="/xl/activeX/activeX81.bin" ContentType="application/vnd.ms-office.activeX"/>
  <Override PartName="/xl/activeX/activeX82.xml" ContentType="application/vnd.ms-office.activeX+xml"/>
  <Override PartName="/xl/activeX/activeX82.bin" ContentType="application/vnd.ms-office.activeX"/>
  <Override PartName="/xl/activeX/activeX83.xml" ContentType="application/vnd.ms-office.activeX+xml"/>
  <Override PartName="/xl/activeX/activeX83.bin" ContentType="application/vnd.ms-office.activeX"/>
  <Override PartName="/xl/activeX/activeX84.xml" ContentType="application/vnd.ms-office.activeX+xml"/>
  <Override PartName="/xl/activeX/activeX84.bin" ContentType="application/vnd.ms-office.activeX"/>
  <Override PartName="/xl/activeX/activeX85.xml" ContentType="application/vnd.ms-office.activeX+xml"/>
  <Override PartName="/xl/activeX/activeX85.bin" ContentType="application/vnd.ms-office.activeX"/>
  <Override PartName="/xl/activeX/activeX86.xml" ContentType="application/vnd.ms-office.activeX+xml"/>
  <Override PartName="/xl/activeX/activeX86.bin" ContentType="application/vnd.ms-office.activeX"/>
  <Override PartName="/xl/activeX/activeX87.xml" ContentType="application/vnd.ms-office.activeX+xml"/>
  <Override PartName="/xl/activeX/activeX87.bin" ContentType="application/vnd.ms-office.activeX"/>
  <Override PartName="/xl/activeX/activeX88.xml" ContentType="application/vnd.ms-office.activeX+xml"/>
  <Override PartName="/xl/activeX/activeX88.bin" ContentType="application/vnd.ms-office.activeX"/>
  <Override PartName="/xl/activeX/activeX89.xml" ContentType="application/vnd.ms-office.activeX+xml"/>
  <Override PartName="/xl/activeX/activeX89.bin" ContentType="application/vnd.ms-office.activeX"/>
  <Override PartName="/xl/activeX/activeX90.xml" ContentType="application/vnd.ms-office.activeX+xml"/>
  <Override PartName="/xl/activeX/activeX90.bin" ContentType="application/vnd.ms-office.activeX"/>
  <Override PartName="/xl/activeX/activeX91.xml" ContentType="application/vnd.ms-office.activeX+xml"/>
  <Override PartName="/xl/activeX/activeX91.bin" ContentType="application/vnd.ms-office.activeX"/>
  <Override PartName="/xl/activeX/activeX92.xml" ContentType="application/vnd.ms-office.activeX+xml"/>
  <Override PartName="/xl/activeX/activeX92.bin" ContentType="application/vnd.ms-office.activeX"/>
  <Override PartName="/xl/activeX/activeX93.xml" ContentType="application/vnd.ms-office.activeX+xml"/>
  <Override PartName="/xl/activeX/activeX93.bin" ContentType="application/vnd.ms-office.activeX"/>
  <Override PartName="/xl/activeX/activeX94.xml" ContentType="application/vnd.ms-office.activeX+xml"/>
  <Override PartName="/xl/activeX/activeX94.bin" ContentType="application/vnd.ms-office.activeX"/>
  <Override PartName="/xl/activeX/activeX95.xml" ContentType="application/vnd.ms-office.activeX+xml"/>
  <Override PartName="/xl/activeX/activeX95.bin" ContentType="application/vnd.ms-office.activeX"/>
  <Override PartName="/xl/activeX/activeX96.xml" ContentType="application/vnd.ms-office.activeX+xml"/>
  <Override PartName="/xl/activeX/activeX96.bin" ContentType="application/vnd.ms-office.activeX"/>
  <Override PartName="/xl/activeX/activeX97.xml" ContentType="application/vnd.ms-office.activeX+xml"/>
  <Override PartName="/xl/activeX/activeX97.bin" ContentType="application/vnd.ms-office.activeX"/>
  <Override PartName="/xl/activeX/activeX98.xml" ContentType="application/vnd.ms-office.activeX+xml"/>
  <Override PartName="/xl/activeX/activeX98.bin" ContentType="application/vnd.ms-office.activeX"/>
  <Override PartName="/xl/activeX/activeX99.xml" ContentType="application/vnd.ms-office.activeX+xml"/>
  <Override PartName="/xl/activeX/activeX99.bin" ContentType="application/vnd.ms-office.activeX"/>
  <Override PartName="/xl/activeX/activeX100.xml" ContentType="application/vnd.ms-office.activeX+xml"/>
  <Override PartName="/xl/activeX/activeX100.bin" ContentType="application/vnd.ms-office.activeX"/>
  <Override PartName="/xl/activeX/activeX101.xml" ContentType="application/vnd.ms-office.activeX+xml"/>
  <Override PartName="/xl/activeX/activeX101.bin" ContentType="application/vnd.ms-office.activeX"/>
  <Override PartName="/xl/activeX/activeX102.xml" ContentType="application/vnd.ms-office.activeX+xml"/>
  <Override PartName="/xl/activeX/activeX102.bin" ContentType="application/vnd.ms-office.activeX"/>
  <Override PartName="/xl/activeX/activeX103.xml" ContentType="application/vnd.ms-office.activeX+xml"/>
  <Override PartName="/xl/activeX/activeX103.bin" ContentType="application/vnd.ms-office.activeX"/>
  <Override PartName="/xl/activeX/activeX104.xml" ContentType="application/vnd.ms-office.activeX+xml"/>
  <Override PartName="/xl/activeX/activeX104.bin" ContentType="application/vnd.ms-office.activeX"/>
  <Override PartName="/xl/activeX/activeX105.xml" ContentType="application/vnd.ms-office.activeX+xml"/>
  <Override PartName="/xl/activeX/activeX105.bin" ContentType="application/vnd.ms-office.activeX"/>
  <Override PartName="/xl/activeX/activeX106.xml" ContentType="application/vnd.ms-office.activeX+xml"/>
  <Override PartName="/xl/activeX/activeX106.bin" ContentType="application/vnd.ms-office.activeX"/>
  <Override PartName="/xl/activeX/activeX107.xml" ContentType="application/vnd.ms-office.activeX+xml"/>
  <Override PartName="/xl/activeX/activeX107.bin" ContentType="application/vnd.ms-office.activeX"/>
  <Override PartName="/xl/activeX/activeX108.xml" ContentType="application/vnd.ms-office.activeX+xml"/>
  <Override PartName="/xl/activeX/activeX108.bin" ContentType="application/vnd.ms-office.activeX"/>
  <Override PartName="/xl/activeX/activeX109.xml" ContentType="application/vnd.ms-office.activeX+xml"/>
  <Override PartName="/xl/activeX/activeX109.bin" ContentType="application/vnd.ms-office.activeX"/>
  <Override PartName="/xl/activeX/activeX110.xml" ContentType="application/vnd.ms-office.activeX+xml"/>
  <Override PartName="/xl/activeX/activeX110.bin" ContentType="application/vnd.ms-office.activeX"/>
  <Override PartName="/xl/activeX/activeX111.xml" ContentType="application/vnd.ms-office.activeX+xml"/>
  <Override PartName="/xl/activeX/activeX111.bin" ContentType="application/vnd.ms-office.activeX"/>
  <Override PartName="/xl/activeX/activeX112.xml" ContentType="application/vnd.ms-office.activeX+xml"/>
  <Override PartName="/xl/activeX/activeX112.bin" ContentType="application/vnd.ms-office.activeX"/>
  <Override PartName="/xl/activeX/activeX113.xml" ContentType="application/vnd.ms-office.activeX+xml"/>
  <Override PartName="/xl/activeX/activeX113.bin" ContentType="application/vnd.ms-office.activeX"/>
  <Override PartName="/xl/activeX/activeX114.xml" ContentType="application/vnd.ms-office.activeX+xml"/>
  <Override PartName="/xl/activeX/activeX114.bin" ContentType="application/vnd.ms-office.activeX"/>
  <Override PartName="/xl/activeX/activeX115.xml" ContentType="application/vnd.ms-office.activeX+xml"/>
  <Override PartName="/xl/activeX/activeX115.bin" ContentType="application/vnd.ms-office.activeX"/>
  <Override PartName="/xl/activeX/activeX116.xml" ContentType="application/vnd.ms-office.activeX+xml"/>
  <Override PartName="/xl/activeX/activeX116.bin" ContentType="application/vnd.ms-office.activeX"/>
  <Override PartName="/xl/activeX/activeX117.xml" ContentType="application/vnd.ms-office.activeX+xml"/>
  <Override PartName="/xl/activeX/activeX117.bin" ContentType="application/vnd.ms-office.activeX"/>
  <Override PartName="/xl/activeX/activeX118.xml" ContentType="application/vnd.ms-office.activeX+xml"/>
  <Override PartName="/xl/activeX/activeX118.bin" ContentType="application/vnd.ms-office.activeX"/>
  <Override PartName="/xl/activeX/activeX119.xml" ContentType="application/vnd.ms-office.activeX+xml"/>
  <Override PartName="/xl/activeX/activeX119.bin" ContentType="application/vnd.ms-office.activeX"/>
  <Override PartName="/xl/activeX/activeX120.xml" ContentType="application/vnd.ms-office.activeX+xml"/>
  <Override PartName="/xl/activeX/activeX120.bin" ContentType="application/vnd.ms-office.activeX"/>
  <Override PartName="/xl/activeX/activeX121.xml" ContentType="application/vnd.ms-office.activeX+xml"/>
  <Override PartName="/xl/activeX/activeX121.bin" ContentType="application/vnd.ms-office.activeX"/>
  <Override PartName="/xl/activeX/activeX122.xml" ContentType="application/vnd.ms-office.activeX+xml"/>
  <Override PartName="/xl/activeX/activeX122.bin" ContentType="application/vnd.ms-office.activeX"/>
  <Override PartName="/xl/activeX/activeX123.xml" ContentType="application/vnd.ms-office.activeX+xml"/>
  <Override PartName="/xl/activeX/activeX123.bin" ContentType="application/vnd.ms-office.activeX"/>
  <Override PartName="/xl/activeX/activeX124.xml" ContentType="application/vnd.ms-office.activeX+xml"/>
  <Override PartName="/xl/activeX/activeX124.bin" ContentType="application/vnd.ms-office.activeX"/>
  <Override PartName="/xl/activeX/activeX125.xml" ContentType="application/vnd.ms-office.activeX+xml"/>
  <Override PartName="/xl/activeX/activeX125.bin" ContentType="application/vnd.ms-office.activeX"/>
  <Override PartName="/xl/activeX/activeX126.xml" ContentType="application/vnd.ms-office.activeX+xml"/>
  <Override PartName="/xl/activeX/activeX126.bin" ContentType="application/vnd.ms-office.activeX"/>
  <Override PartName="/xl/activeX/activeX127.xml" ContentType="application/vnd.ms-office.activeX+xml"/>
  <Override PartName="/xl/activeX/activeX127.bin" ContentType="application/vnd.ms-office.activeX"/>
  <Override PartName="/xl/activeX/activeX128.xml" ContentType="application/vnd.ms-office.activeX+xml"/>
  <Override PartName="/xl/activeX/activeX128.bin" ContentType="application/vnd.ms-office.activeX"/>
  <Override PartName="/xl/activeX/activeX129.xml" ContentType="application/vnd.ms-office.activeX+xml"/>
  <Override PartName="/xl/activeX/activeX129.bin" ContentType="application/vnd.ms-office.activeX"/>
  <Override PartName="/xl/activeX/activeX130.xml" ContentType="application/vnd.ms-office.activeX+xml"/>
  <Override PartName="/xl/activeX/activeX130.bin" ContentType="application/vnd.ms-office.activeX"/>
  <Override PartName="/xl/activeX/activeX131.xml" ContentType="application/vnd.ms-office.activeX+xml"/>
  <Override PartName="/xl/activeX/activeX131.bin" ContentType="application/vnd.ms-office.activeX"/>
  <Override PartName="/xl/activeX/activeX132.xml" ContentType="application/vnd.ms-office.activeX+xml"/>
  <Override PartName="/xl/activeX/activeX132.bin" ContentType="application/vnd.ms-office.activeX"/>
  <Override PartName="/xl/activeX/activeX133.xml" ContentType="application/vnd.ms-office.activeX+xml"/>
  <Override PartName="/xl/activeX/activeX133.bin" ContentType="application/vnd.ms-office.activeX"/>
  <Override PartName="/xl/activeX/activeX134.xml" ContentType="application/vnd.ms-office.activeX+xml"/>
  <Override PartName="/xl/activeX/activeX134.bin" ContentType="application/vnd.ms-office.activeX"/>
  <Override PartName="/xl/activeX/activeX135.xml" ContentType="application/vnd.ms-office.activeX+xml"/>
  <Override PartName="/xl/activeX/activeX135.bin" ContentType="application/vnd.ms-office.activeX"/>
  <Override PartName="/xl/activeX/activeX136.xml" ContentType="application/vnd.ms-office.activeX+xml"/>
  <Override PartName="/xl/activeX/activeX136.bin" ContentType="application/vnd.ms-office.activeX"/>
  <Override PartName="/xl/activeX/activeX137.xml" ContentType="application/vnd.ms-office.activeX+xml"/>
  <Override PartName="/xl/activeX/activeX137.bin" ContentType="application/vnd.ms-office.activeX"/>
  <Override PartName="/xl/activeX/activeX138.xml" ContentType="application/vnd.ms-office.activeX+xml"/>
  <Override PartName="/xl/activeX/activeX138.bin" ContentType="application/vnd.ms-office.activeX"/>
  <Override PartName="/xl/activeX/activeX139.xml" ContentType="application/vnd.ms-office.activeX+xml"/>
  <Override PartName="/xl/activeX/activeX139.bin" ContentType="application/vnd.ms-office.activeX"/>
  <Override PartName="/xl/activeX/activeX140.xml" ContentType="application/vnd.ms-office.activeX+xml"/>
  <Override PartName="/xl/activeX/activeX140.bin" ContentType="application/vnd.ms-office.activeX"/>
  <Override PartName="/xl/activeX/activeX141.xml" ContentType="application/vnd.ms-office.activeX+xml"/>
  <Override PartName="/xl/activeX/activeX141.bin" ContentType="application/vnd.ms-office.activeX"/>
  <Override PartName="/xl/activeX/activeX142.xml" ContentType="application/vnd.ms-office.activeX+xml"/>
  <Override PartName="/xl/activeX/activeX142.bin" ContentType="application/vnd.ms-office.activeX"/>
  <Override PartName="/xl/activeX/activeX143.xml" ContentType="application/vnd.ms-office.activeX+xml"/>
  <Override PartName="/xl/activeX/activeX143.bin" ContentType="application/vnd.ms-office.activeX"/>
  <Override PartName="/xl/activeX/activeX144.xml" ContentType="application/vnd.ms-office.activeX+xml"/>
  <Override PartName="/xl/activeX/activeX144.bin" ContentType="application/vnd.ms-office.activeX"/>
  <Override PartName="/xl/activeX/activeX145.xml" ContentType="application/vnd.ms-office.activeX+xml"/>
  <Override PartName="/xl/activeX/activeX145.bin" ContentType="application/vnd.ms-office.activeX"/>
  <Override PartName="/xl/activeX/activeX146.xml" ContentType="application/vnd.ms-office.activeX+xml"/>
  <Override PartName="/xl/activeX/activeX146.bin" ContentType="application/vnd.ms-office.activeX"/>
  <Override PartName="/xl/activeX/activeX147.xml" ContentType="application/vnd.ms-office.activeX+xml"/>
  <Override PartName="/xl/activeX/activeX147.bin" ContentType="application/vnd.ms-office.activeX"/>
  <Override PartName="/xl/activeX/activeX148.xml" ContentType="application/vnd.ms-office.activeX+xml"/>
  <Override PartName="/xl/activeX/activeX148.bin" ContentType="application/vnd.ms-office.activeX"/>
  <Override PartName="/xl/activeX/activeX149.xml" ContentType="application/vnd.ms-office.activeX+xml"/>
  <Override PartName="/xl/activeX/activeX149.bin" ContentType="application/vnd.ms-office.activeX"/>
  <Override PartName="/xl/activeX/activeX150.xml" ContentType="application/vnd.ms-office.activeX+xml"/>
  <Override PartName="/xl/activeX/activeX150.bin" ContentType="application/vnd.ms-office.activeX"/>
  <Override PartName="/xl/activeX/activeX151.xml" ContentType="application/vnd.ms-office.activeX+xml"/>
  <Override PartName="/xl/activeX/activeX151.bin" ContentType="application/vnd.ms-office.activeX"/>
  <Override PartName="/xl/activeX/activeX152.xml" ContentType="application/vnd.ms-office.activeX+xml"/>
  <Override PartName="/xl/activeX/activeX152.bin" ContentType="application/vnd.ms-office.activeX"/>
  <Override PartName="/xl/activeX/activeX153.xml" ContentType="application/vnd.ms-office.activeX+xml"/>
  <Override PartName="/xl/activeX/activeX153.bin" ContentType="application/vnd.ms-office.activeX"/>
  <Override PartName="/xl/activeX/activeX154.xml" ContentType="application/vnd.ms-office.activeX+xml"/>
  <Override PartName="/xl/activeX/activeX154.bin" ContentType="application/vnd.ms-office.activeX"/>
  <Override PartName="/xl/activeX/activeX155.xml" ContentType="application/vnd.ms-office.activeX+xml"/>
  <Override PartName="/xl/activeX/activeX155.bin" ContentType="application/vnd.ms-office.activeX"/>
  <Override PartName="/xl/activeX/activeX156.xml" ContentType="application/vnd.ms-office.activeX+xml"/>
  <Override PartName="/xl/activeX/activeX156.bin" ContentType="application/vnd.ms-office.activeX"/>
  <Override PartName="/xl/activeX/activeX157.xml" ContentType="application/vnd.ms-office.activeX+xml"/>
  <Override PartName="/xl/activeX/activeX157.bin" ContentType="application/vnd.ms-office.activeX"/>
  <Override PartName="/xl/activeX/activeX158.xml" ContentType="application/vnd.ms-office.activeX+xml"/>
  <Override PartName="/xl/activeX/activeX158.bin" ContentType="application/vnd.ms-office.activeX"/>
  <Override PartName="/xl/activeX/activeX159.xml" ContentType="application/vnd.ms-office.activeX+xml"/>
  <Override PartName="/xl/activeX/activeX159.bin" ContentType="application/vnd.ms-office.activeX"/>
  <Override PartName="/xl/activeX/activeX160.xml" ContentType="application/vnd.ms-office.activeX+xml"/>
  <Override PartName="/xl/activeX/activeX160.bin" ContentType="application/vnd.ms-office.activeX"/>
  <Override PartName="/xl/activeX/activeX161.xml" ContentType="application/vnd.ms-office.activeX+xml"/>
  <Override PartName="/xl/activeX/activeX161.bin" ContentType="application/vnd.ms-office.activeX"/>
  <Override PartName="/xl/activeX/activeX162.xml" ContentType="application/vnd.ms-office.activeX+xml"/>
  <Override PartName="/xl/activeX/activeX162.bin" ContentType="application/vnd.ms-office.activeX"/>
  <Override PartName="/xl/activeX/activeX163.xml" ContentType="application/vnd.ms-office.activeX+xml"/>
  <Override PartName="/xl/activeX/activeX163.bin" ContentType="application/vnd.ms-office.activeX"/>
  <Override PartName="/xl/activeX/activeX164.xml" ContentType="application/vnd.ms-office.activeX+xml"/>
  <Override PartName="/xl/activeX/activeX164.bin" ContentType="application/vnd.ms-office.activeX"/>
  <Override PartName="/xl/activeX/activeX165.xml" ContentType="application/vnd.ms-office.activeX+xml"/>
  <Override PartName="/xl/activeX/activeX165.bin" ContentType="application/vnd.ms-office.activeX"/>
  <Override PartName="/xl/activeX/activeX166.xml" ContentType="application/vnd.ms-office.activeX+xml"/>
  <Override PartName="/xl/activeX/activeX166.bin" ContentType="application/vnd.ms-office.activeX"/>
  <Override PartName="/xl/activeX/activeX167.xml" ContentType="application/vnd.ms-office.activeX+xml"/>
  <Override PartName="/xl/activeX/activeX167.bin" ContentType="application/vnd.ms-office.activeX"/>
  <Override PartName="/xl/activeX/activeX168.xml" ContentType="application/vnd.ms-office.activeX+xml"/>
  <Override PartName="/xl/activeX/activeX168.bin" ContentType="application/vnd.ms-office.activeX"/>
  <Override PartName="/xl/activeX/activeX169.xml" ContentType="application/vnd.ms-office.activeX+xml"/>
  <Override PartName="/xl/activeX/activeX169.bin" ContentType="application/vnd.ms-office.activeX"/>
  <Override PartName="/xl/activeX/activeX170.xml" ContentType="application/vnd.ms-office.activeX+xml"/>
  <Override PartName="/xl/activeX/activeX170.bin" ContentType="application/vnd.ms-office.activeX"/>
  <Override PartName="/xl/activeX/activeX171.xml" ContentType="application/vnd.ms-office.activeX+xml"/>
  <Override PartName="/xl/activeX/activeX171.bin" ContentType="application/vnd.ms-office.activeX"/>
  <Override PartName="/xl/activeX/activeX172.xml" ContentType="application/vnd.ms-office.activeX+xml"/>
  <Override PartName="/xl/activeX/activeX172.bin" ContentType="application/vnd.ms-office.activeX"/>
  <Override PartName="/xl/activeX/activeX173.xml" ContentType="application/vnd.ms-office.activeX+xml"/>
  <Override PartName="/xl/activeX/activeX173.bin" ContentType="application/vnd.ms-office.activeX"/>
  <Override PartName="/xl/activeX/activeX174.xml" ContentType="application/vnd.ms-office.activeX+xml"/>
  <Override PartName="/xl/activeX/activeX174.bin" ContentType="application/vnd.ms-office.activeX"/>
  <Override PartName="/xl/activeX/activeX175.xml" ContentType="application/vnd.ms-office.activeX+xml"/>
  <Override PartName="/xl/activeX/activeX175.bin" ContentType="application/vnd.ms-office.activeX"/>
  <Override PartName="/xl/activeX/activeX176.xml" ContentType="application/vnd.ms-office.activeX+xml"/>
  <Override PartName="/xl/activeX/activeX176.bin" ContentType="application/vnd.ms-office.activeX"/>
  <Override PartName="/xl/activeX/activeX177.xml" ContentType="application/vnd.ms-office.activeX+xml"/>
  <Override PartName="/xl/activeX/activeX177.bin" ContentType="application/vnd.ms-office.activeX"/>
  <Override PartName="/xl/activeX/activeX178.xml" ContentType="application/vnd.ms-office.activeX+xml"/>
  <Override PartName="/xl/activeX/activeX178.bin" ContentType="application/vnd.ms-office.activeX"/>
  <Override PartName="/xl/activeX/activeX179.xml" ContentType="application/vnd.ms-office.activeX+xml"/>
  <Override PartName="/xl/activeX/activeX179.bin" ContentType="application/vnd.ms-office.activeX"/>
  <Override PartName="/xl/activeX/activeX180.xml" ContentType="application/vnd.ms-office.activeX+xml"/>
  <Override PartName="/xl/activeX/activeX180.bin" ContentType="application/vnd.ms-office.activeX"/>
  <Override PartName="/xl/activeX/activeX181.xml" ContentType="application/vnd.ms-office.activeX+xml"/>
  <Override PartName="/xl/activeX/activeX181.bin" ContentType="application/vnd.ms-office.activeX"/>
  <Override PartName="/xl/activeX/activeX182.xml" ContentType="application/vnd.ms-office.activeX+xml"/>
  <Override PartName="/xl/activeX/activeX182.bin" ContentType="application/vnd.ms-office.activeX"/>
  <Override PartName="/xl/activeX/activeX183.xml" ContentType="application/vnd.ms-office.activeX+xml"/>
  <Override PartName="/xl/activeX/activeX183.bin" ContentType="application/vnd.ms-office.activeX"/>
  <Override PartName="/xl/activeX/activeX184.xml" ContentType="application/vnd.ms-office.activeX+xml"/>
  <Override PartName="/xl/activeX/activeX184.bin" ContentType="application/vnd.ms-office.activeX"/>
  <Override PartName="/xl/activeX/activeX185.xml" ContentType="application/vnd.ms-office.activeX+xml"/>
  <Override PartName="/xl/activeX/activeX185.bin" ContentType="application/vnd.ms-office.activeX"/>
  <Override PartName="/xl/activeX/activeX186.xml" ContentType="application/vnd.ms-office.activeX+xml"/>
  <Override PartName="/xl/activeX/activeX186.bin" ContentType="application/vnd.ms-office.activeX"/>
  <Override PartName="/xl/activeX/activeX187.xml" ContentType="application/vnd.ms-office.activeX+xml"/>
  <Override PartName="/xl/activeX/activeX187.bin" ContentType="application/vnd.ms-office.activeX"/>
  <Override PartName="/xl/activeX/activeX188.xml" ContentType="application/vnd.ms-office.activeX+xml"/>
  <Override PartName="/xl/activeX/activeX188.bin" ContentType="application/vnd.ms-office.activeX"/>
  <Override PartName="/xl/activeX/activeX189.xml" ContentType="application/vnd.ms-office.activeX+xml"/>
  <Override PartName="/xl/activeX/activeX189.bin" ContentType="application/vnd.ms-office.activeX"/>
  <Override PartName="/xl/activeX/activeX190.xml" ContentType="application/vnd.ms-office.activeX+xml"/>
  <Override PartName="/xl/activeX/activeX190.bin" ContentType="application/vnd.ms-office.activeX"/>
  <Override PartName="/xl/activeX/activeX191.xml" ContentType="application/vnd.ms-office.activeX+xml"/>
  <Override PartName="/xl/activeX/activeX191.bin" ContentType="application/vnd.ms-office.activeX"/>
  <Override PartName="/xl/activeX/activeX192.xml" ContentType="application/vnd.ms-office.activeX+xml"/>
  <Override PartName="/xl/activeX/activeX192.bin" ContentType="application/vnd.ms-office.activeX"/>
  <Override PartName="/xl/activeX/activeX193.xml" ContentType="application/vnd.ms-office.activeX+xml"/>
  <Override PartName="/xl/activeX/activeX193.bin" ContentType="application/vnd.ms-office.activeX"/>
  <Override PartName="/xl/activeX/activeX194.xml" ContentType="application/vnd.ms-office.activeX+xml"/>
  <Override PartName="/xl/activeX/activeX194.bin" ContentType="application/vnd.ms-office.activeX"/>
  <Override PartName="/xl/activeX/activeX195.xml" ContentType="application/vnd.ms-office.activeX+xml"/>
  <Override PartName="/xl/activeX/activeX195.bin" ContentType="application/vnd.ms-office.activeX"/>
  <Override PartName="/xl/activeX/activeX196.xml" ContentType="application/vnd.ms-office.activeX+xml"/>
  <Override PartName="/xl/activeX/activeX196.bin" ContentType="application/vnd.ms-office.activeX"/>
  <Override PartName="/xl/activeX/activeX197.xml" ContentType="application/vnd.ms-office.activeX+xml"/>
  <Override PartName="/xl/activeX/activeX197.bin" ContentType="application/vnd.ms-office.activeX"/>
  <Override PartName="/xl/activeX/activeX198.xml" ContentType="application/vnd.ms-office.activeX+xml"/>
  <Override PartName="/xl/activeX/activeX198.bin" ContentType="application/vnd.ms-office.activeX"/>
  <Override PartName="/xl/activeX/activeX199.xml" ContentType="application/vnd.ms-office.activeX+xml"/>
  <Override PartName="/xl/activeX/activeX199.bin" ContentType="application/vnd.ms-office.activeX"/>
  <Override PartName="/xl/activeX/activeX200.xml" ContentType="application/vnd.ms-office.activeX+xml"/>
  <Override PartName="/xl/activeX/activeX200.bin" ContentType="application/vnd.ms-office.activeX"/>
  <Override PartName="/xl/comments1.xml" ContentType="application/vnd.openxmlformats-officedocument.spreadsheetml.comments+xml"/>
  <Override PartName="/xl/drawings/drawing2.xml" ContentType="application/vnd.openxmlformats-officedocument.drawing+xml"/>
  <Override PartName="/xl/activeX/activeX201.xml" ContentType="application/vnd.ms-office.activeX+xml"/>
  <Override PartName="/xl/activeX/activeX201.bin" ContentType="application/vnd.ms-office.activeX"/>
  <Override PartName="/xl/activeX/activeX202.xml" ContentType="application/vnd.ms-office.activeX+xml"/>
  <Override PartName="/xl/activeX/activeX202.bin" ContentType="application/vnd.ms-office.activeX"/>
  <Override PartName="/xl/activeX/activeX203.xml" ContentType="application/vnd.ms-office.activeX+xml"/>
  <Override PartName="/xl/activeX/activeX203.bin" ContentType="application/vnd.ms-office.activeX"/>
  <Override PartName="/xl/activeX/activeX204.xml" ContentType="application/vnd.ms-office.activeX+xml"/>
  <Override PartName="/xl/activeX/activeX204.bin" ContentType="application/vnd.ms-office.activeX"/>
  <Override PartName="/xl/activeX/activeX205.xml" ContentType="application/vnd.ms-office.activeX+xml"/>
  <Override PartName="/xl/activeX/activeX205.bin" ContentType="application/vnd.ms-office.activeX"/>
  <Override PartName="/xl/activeX/activeX206.xml" ContentType="application/vnd.ms-office.activeX+xml"/>
  <Override PartName="/xl/activeX/activeX206.bin" ContentType="application/vnd.ms-office.activeX"/>
  <Override PartName="/xl/activeX/activeX207.xml" ContentType="application/vnd.ms-office.activeX+xml"/>
  <Override PartName="/xl/activeX/activeX207.bin" ContentType="application/vnd.ms-office.activeX"/>
  <Override PartName="/xl/activeX/activeX208.xml" ContentType="application/vnd.ms-office.activeX+xml"/>
  <Override PartName="/xl/activeX/activeX208.bin" ContentType="application/vnd.ms-office.activeX"/>
  <Override PartName="/xl/activeX/activeX209.xml" ContentType="application/vnd.ms-office.activeX+xml"/>
  <Override PartName="/xl/activeX/activeX209.bin" ContentType="application/vnd.ms-office.activeX"/>
  <Override PartName="/xl/activeX/activeX210.xml" ContentType="application/vnd.ms-office.activeX+xml"/>
  <Override PartName="/xl/activeX/activeX210.bin" ContentType="application/vnd.ms-office.activeX"/>
  <Override PartName="/xl/activeX/activeX211.xml" ContentType="application/vnd.ms-office.activeX+xml"/>
  <Override PartName="/xl/activeX/activeX211.bin" ContentType="application/vnd.ms-office.activeX"/>
  <Override PartName="/xl/activeX/activeX212.xml" ContentType="application/vnd.ms-office.activeX+xml"/>
  <Override PartName="/xl/activeX/activeX212.bin" ContentType="application/vnd.ms-office.activeX"/>
  <Override PartName="/xl/activeX/activeX213.xml" ContentType="application/vnd.ms-office.activeX+xml"/>
  <Override PartName="/xl/activeX/activeX213.bin" ContentType="application/vnd.ms-office.activeX"/>
  <Override PartName="/xl/activeX/activeX214.xml" ContentType="application/vnd.ms-office.activeX+xml"/>
  <Override PartName="/xl/activeX/activeX214.bin" ContentType="application/vnd.ms-office.activeX"/>
  <Override PartName="/xl/activeX/activeX215.xml" ContentType="application/vnd.ms-office.activeX+xml"/>
  <Override PartName="/xl/activeX/activeX215.bin" ContentType="application/vnd.ms-office.activeX"/>
  <Override PartName="/xl/activeX/activeX216.xml" ContentType="application/vnd.ms-office.activeX+xml"/>
  <Override PartName="/xl/activeX/activeX216.bin" ContentType="application/vnd.ms-office.activeX"/>
  <Override PartName="/xl/activeX/activeX217.xml" ContentType="application/vnd.ms-office.activeX+xml"/>
  <Override PartName="/xl/activeX/activeX217.bin" ContentType="application/vnd.ms-office.activeX"/>
  <Override PartName="/xl/activeX/activeX218.xml" ContentType="application/vnd.ms-office.activeX+xml"/>
  <Override PartName="/xl/activeX/activeX218.bin" ContentType="application/vnd.ms-office.activeX"/>
  <Override PartName="/xl/activeX/activeX219.xml" ContentType="application/vnd.ms-office.activeX+xml"/>
  <Override PartName="/xl/activeX/activeX219.bin" ContentType="application/vnd.ms-office.activeX"/>
  <Override PartName="/xl/activeX/activeX220.xml" ContentType="application/vnd.ms-office.activeX+xml"/>
  <Override PartName="/xl/activeX/activeX220.bin" ContentType="application/vnd.ms-office.activeX"/>
  <Override PartName="/xl/activeX/activeX221.xml" ContentType="application/vnd.ms-office.activeX+xml"/>
  <Override PartName="/xl/activeX/activeX221.bin" ContentType="application/vnd.ms-office.activeX"/>
  <Override PartName="/xl/activeX/activeX222.xml" ContentType="application/vnd.ms-office.activeX+xml"/>
  <Override PartName="/xl/activeX/activeX222.bin" ContentType="application/vnd.ms-office.activeX"/>
  <Override PartName="/xl/activeX/activeX223.xml" ContentType="application/vnd.ms-office.activeX+xml"/>
  <Override PartName="/xl/activeX/activeX223.bin" ContentType="application/vnd.ms-office.activeX"/>
  <Override PartName="/xl/activeX/activeX224.xml" ContentType="application/vnd.ms-office.activeX+xml"/>
  <Override PartName="/xl/activeX/activeX224.bin" ContentType="application/vnd.ms-office.activeX"/>
  <Override PartName="/xl/activeX/activeX225.xml" ContentType="application/vnd.ms-office.activeX+xml"/>
  <Override PartName="/xl/activeX/activeX225.bin" ContentType="application/vnd.ms-office.activeX"/>
  <Override PartName="/xl/activeX/activeX226.xml" ContentType="application/vnd.ms-office.activeX+xml"/>
  <Override PartName="/xl/activeX/activeX226.bin" ContentType="application/vnd.ms-office.activeX"/>
  <Override PartName="/xl/activeX/activeX227.xml" ContentType="application/vnd.ms-office.activeX+xml"/>
  <Override PartName="/xl/activeX/activeX227.bin" ContentType="application/vnd.ms-office.activeX"/>
  <Override PartName="/xl/activeX/activeX228.xml" ContentType="application/vnd.ms-office.activeX+xml"/>
  <Override PartName="/xl/activeX/activeX228.bin" ContentType="application/vnd.ms-office.activeX"/>
  <Override PartName="/xl/activeX/activeX229.xml" ContentType="application/vnd.ms-office.activeX+xml"/>
  <Override PartName="/xl/activeX/activeX229.bin" ContentType="application/vnd.ms-office.activeX"/>
  <Override PartName="/xl/activeX/activeX230.xml" ContentType="application/vnd.ms-office.activeX+xml"/>
  <Override PartName="/xl/activeX/activeX230.bin" ContentType="application/vnd.ms-office.activeX"/>
  <Override PartName="/xl/activeX/activeX231.xml" ContentType="application/vnd.ms-office.activeX+xml"/>
  <Override PartName="/xl/activeX/activeX231.bin" ContentType="application/vnd.ms-office.activeX"/>
  <Override PartName="/xl/activeX/activeX232.xml" ContentType="application/vnd.ms-office.activeX+xml"/>
  <Override PartName="/xl/activeX/activeX232.bin" ContentType="application/vnd.ms-office.activeX"/>
  <Override PartName="/xl/activeX/activeX233.xml" ContentType="application/vnd.ms-office.activeX+xml"/>
  <Override PartName="/xl/activeX/activeX233.bin" ContentType="application/vnd.ms-office.activeX"/>
  <Override PartName="/xl/activeX/activeX234.xml" ContentType="application/vnd.ms-office.activeX+xml"/>
  <Override PartName="/xl/activeX/activeX234.bin" ContentType="application/vnd.ms-office.activeX"/>
  <Override PartName="/xl/activeX/activeX235.xml" ContentType="application/vnd.ms-office.activeX+xml"/>
  <Override PartName="/xl/activeX/activeX235.bin" ContentType="application/vnd.ms-office.activeX"/>
  <Override PartName="/xl/activeX/activeX236.xml" ContentType="application/vnd.ms-office.activeX+xml"/>
  <Override PartName="/xl/activeX/activeX236.bin" ContentType="application/vnd.ms-office.activeX"/>
  <Override PartName="/xl/activeX/activeX237.xml" ContentType="application/vnd.ms-office.activeX+xml"/>
  <Override PartName="/xl/activeX/activeX237.bin" ContentType="application/vnd.ms-office.activeX"/>
  <Override PartName="/xl/activeX/activeX238.xml" ContentType="application/vnd.ms-office.activeX+xml"/>
  <Override PartName="/xl/activeX/activeX238.bin" ContentType="application/vnd.ms-office.activeX"/>
  <Override PartName="/xl/activeX/activeX239.xml" ContentType="application/vnd.ms-office.activeX+xml"/>
  <Override PartName="/xl/activeX/activeX239.bin" ContentType="application/vnd.ms-office.activeX"/>
  <Override PartName="/xl/activeX/activeX240.xml" ContentType="application/vnd.ms-office.activeX+xml"/>
  <Override PartName="/xl/activeX/activeX240.bin" ContentType="application/vnd.ms-office.activeX"/>
  <Override PartName="/xl/activeX/activeX241.xml" ContentType="application/vnd.ms-office.activeX+xml"/>
  <Override PartName="/xl/activeX/activeX241.bin" ContentType="application/vnd.ms-office.activeX"/>
  <Override PartName="/xl/activeX/activeX242.xml" ContentType="application/vnd.ms-office.activeX+xml"/>
  <Override PartName="/xl/activeX/activeX242.bin" ContentType="application/vnd.ms-office.activeX"/>
  <Override PartName="/xl/activeX/activeX243.xml" ContentType="application/vnd.ms-office.activeX+xml"/>
  <Override PartName="/xl/activeX/activeX243.bin" ContentType="application/vnd.ms-office.activeX"/>
  <Override PartName="/xl/activeX/activeX244.xml" ContentType="application/vnd.ms-office.activeX+xml"/>
  <Override PartName="/xl/activeX/activeX244.bin" ContentType="application/vnd.ms-office.activeX"/>
  <Override PartName="/xl/activeX/activeX245.xml" ContentType="application/vnd.ms-office.activeX+xml"/>
  <Override PartName="/xl/activeX/activeX245.bin" ContentType="application/vnd.ms-office.activeX"/>
  <Override PartName="/xl/activeX/activeX246.xml" ContentType="application/vnd.ms-office.activeX+xml"/>
  <Override PartName="/xl/activeX/activeX246.bin" ContentType="application/vnd.ms-office.activeX"/>
  <Override PartName="/xl/activeX/activeX247.xml" ContentType="application/vnd.ms-office.activeX+xml"/>
  <Override PartName="/xl/activeX/activeX247.bin" ContentType="application/vnd.ms-office.activeX"/>
  <Override PartName="/xl/activeX/activeX248.xml" ContentType="application/vnd.ms-office.activeX+xml"/>
  <Override PartName="/xl/activeX/activeX248.bin" ContentType="application/vnd.ms-office.activeX"/>
  <Override PartName="/xl/activeX/activeX249.xml" ContentType="application/vnd.ms-office.activeX+xml"/>
  <Override PartName="/xl/activeX/activeX249.bin" ContentType="application/vnd.ms-office.activeX"/>
  <Override PartName="/xl/activeX/activeX250.xml" ContentType="application/vnd.ms-office.activeX+xml"/>
  <Override PartName="/xl/activeX/activeX250.bin" ContentType="application/vnd.ms-office.activeX"/>
  <Override PartName="/xl/activeX/activeX251.xml" ContentType="application/vnd.ms-office.activeX+xml"/>
  <Override PartName="/xl/activeX/activeX251.bin" ContentType="application/vnd.ms-office.activeX"/>
  <Override PartName="/xl/activeX/activeX252.xml" ContentType="application/vnd.ms-office.activeX+xml"/>
  <Override PartName="/xl/activeX/activeX252.bin" ContentType="application/vnd.ms-office.activeX"/>
  <Override PartName="/xl/activeX/activeX253.xml" ContentType="application/vnd.ms-office.activeX+xml"/>
  <Override PartName="/xl/activeX/activeX253.bin" ContentType="application/vnd.ms-office.activeX"/>
  <Override PartName="/xl/activeX/activeX254.xml" ContentType="application/vnd.ms-office.activeX+xml"/>
  <Override PartName="/xl/activeX/activeX254.bin" ContentType="application/vnd.ms-office.activeX"/>
  <Override PartName="/xl/activeX/activeX255.xml" ContentType="application/vnd.ms-office.activeX+xml"/>
  <Override PartName="/xl/activeX/activeX255.bin" ContentType="application/vnd.ms-office.activeX"/>
  <Override PartName="/xl/activeX/activeX256.xml" ContentType="application/vnd.ms-office.activeX+xml"/>
  <Override PartName="/xl/activeX/activeX256.bin" ContentType="application/vnd.ms-office.activeX"/>
  <Override PartName="/xl/activeX/activeX257.xml" ContentType="application/vnd.ms-office.activeX+xml"/>
  <Override PartName="/xl/activeX/activeX257.bin" ContentType="application/vnd.ms-office.activeX"/>
  <Override PartName="/xl/activeX/activeX258.xml" ContentType="application/vnd.ms-office.activeX+xml"/>
  <Override PartName="/xl/activeX/activeX258.bin" ContentType="application/vnd.ms-office.activeX"/>
  <Override PartName="/xl/activeX/activeX259.xml" ContentType="application/vnd.ms-office.activeX+xml"/>
  <Override PartName="/xl/activeX/activeX259.bin" ContentType="application/vnd.ms-office.activeX"/>
  <Override PartName="/xl/activeX/activeX260.xml" ContentType="application/vnd.ms-office.activeX+xml"/>
  <Override PartName="/xl/activeX/activeX260.bin" ContentType="application/vnd.ms-office.activeX"/>
  <Override PartName="/xl/activeX/activeX261.xml" ContentType="application/vnd.ms-office.activeX+xml"/>
  <Override PartName="/xl/activeX/activeX261.bin" ContentType="application/vnd.ms-office.activeX"/>
  <Override PartName="/xl/activeX/activeX262.xml" ContentType="application/vnd.ms-office.activeX+xml"/>
  <Override PartName="/xl/activeX/activeX262.bin" ContentType="application/vnd.ms-office.activeX"/>
  <Override PartName="/xl/activeX/activeX263.xml" ContentType="application/vnd.ms-office.activeX+xml"/>
  <Override PartName="/xl/activeX/activeX263.bin" ContentType="application/vnd.ms-office.activeX"/>
  <Override PartName="/xl/activeX/activeX264.xml" ContentType="application/vnd.ms-office.activeX+xml"/>
  <Override PartName="/xl/activeX/activeX264.bin" ContentType="application/vnd.ms-office.activeX"/>
  <Override PartName="/xl/activeX/activeX265.xml" ContentType="application/vnd.ms-office.activeX+xml"/>
  <Override PartName="/xl/activeX/activeX265.bin" ContentType="application/vnd.ms-office.activeX"/>
  <Override PartName="/xl/activeX/activeX266.xml" ContentType="application/vnd.ms-office.activeX+xml"/>
  <Override PartName="/xl/activeX/activeX266.bin" ContentType="application/vnd.ms-office.activeX"/>
  <Override PartName="/xl/activeX/activeX267.xml" ContentType="application/vnd.ms-office.activeX+xml"/>
  <Override PartName="/xl/activeX/activeX267.bin" ContentType="application/vnd.ms-office.activeX"/>
  <Override PartName="/xl/activeX/activeX268.xml" ContentType="application/vnd.ms-office.activeX+xml"/>
  <Override PartName="/xl/activeX/activeX268.bin" ContentType="application/vnd.ms-office.activeX"/>
  <Override PartName="/xl/activeX/activeX269.xml" ContentType="application/vnd.ms-office.activeX+xml"/>
  <Override PartName="/xl/activeX/activeX269.bin" ContentType="application/vnd.ms-office.activeX"/>
  <Override PartName="/xl/activeX/activeX270.xml" ContentType="application/vnd.ms-office.activeX+xml"/>
  <Override PartName="/xl/activeX/activeX270.bin" ContentType="application/vnd.ms-office.activeX"/>
  <Override PartName="/xl/activeX/activeX271.xml" ContentType="application/vnd.ms-office.activeX+xml"/>
  <Override PartName="/xl/activeX/activeX271.bin" ContentType="application/vnd.ms-office.activeX"/>
  <Override PartName="/xl/activeX/activeX272.xml" ContentType="application/vnd.ms-office.activeX+xml"/>
  <Override PartName="/xl/activeX/activeX272.bin" ContentType="application/vnd.ms-office.activeX"/>
  <Override PartName="/xl/activeX/activeX273.xml" ContentType="application/vnd.ms-office.activeX+xml"/>
  <Override PartName="/xl/activeX/activeX273.bin" ContentType="application/vnd.ms-office.activeX"/>
  <Override PartName="/xl/activeX/activeX274.xml" ContentType="application/vnd.ms-office.activeX+xml"/>
  <Override PartName="/xl/activeX/activeX274.bin" ContentType="application/vnd.ms-office.activeX"/>
  <Override PartName="/xl/activeX/activeX275.xml" ContentType="application/vnd.ms-office.activeX+xml"/>
  <Override PartName="/xl/activeX/activeX275.bin" ContentType="application/vnd.ms-office.activeX"/>
  <Override PartName="/xl/activeX/activeX276.xml" ContentType="application/vnd.ms-office.activeX+xml"/>
  <Override PartName="/xl/activeX/activeX276.bin" ContentType="application/vnd.ms-office.activeX"/>
  <Override PartName="/xl/activeX/activeX277.xml" ContentType="application/vnd.ms-office.activeX+xml"/>
  <Override PartName="/xl/activeX/activeX277.bin" ContentType="application/vnd.ms-office.activeX"/>
  <Override PartName="/xl/activeX/activeX278.xml" ContentType="application/vnd.ms-office.activeX+xml"/>
  <Override PartName="/xl/activeX/activeX278.bin" ContentType="application/vnd.ms-office.activeX"/>
  <Override PartName="/xl/activeX/activeX279.xml" ContentType="application/vnd.ms-office.activeX+xml"/>
  <Override PartName="/xl/activeX/activeX279.bin" ContentType="application/vnd.ms-office.activeX"/>
  <Override PartName="/xl/activeX/activeX280.xml" ContentType="application/vnd.ms-office.activeX+xml"/>
  <Override PartName="/xl/activeX/activeX280.bin" ContentType="application/vnd.ms-office.activeX"/>
  <Override PartName="/xl/activeX/activeX281.xml" ContentType="application/vnd.ms-office.activeX+xml"/>
  <Override PartName="/xl/activeX/activeX281.bin" ContentType="application/vnd.ms-office.activeX"/>
  <Override PartName="/xl/activeX/activeX282.xml" ContentType="application/vnd.ms-office.activeX+xml"/>
  <Override PartName="/xl/activeX/activeX282.bin" ContentType="application/vnd.ms-office.activeX"/>
  <Override PartName="/xl/activeX/activeX283.xml" ContentType="application/vnd.ms-office.activeX+xml"/>
  <Override PartName="/xl/activeX/activeX283.bin" ContentType="application/vnd.ms-office.activeX"/>
  <Override PartName="/xl/activeX/activeX284.xml" ContentType="application/vnd.ms-office.activeX+xml"/>
  <Override PartName="/xl/activeX/activeX284.bin" ContentType="application/vnd.ms-office.activeX"/>
  <Override PartName="/xl/activeX/activeX285.xml" ContentType="application/vnd.ms-office.activeX+xml"/>
  <Override PartName="/xl/activeX/activeX285.bin" ContentType="application/vnd.ms-office.activeX"/>
  <Override PartName="/xl/activeX/activeX286.xml" ContentType="application/vnd.ms-office.activeX+xml"/>
  <Override PartName="/xl/activeX/activeX286.bin" ContentType="application/vnd.ms-office.activeX"/>
  <Override PartName="/xl/activeX/activeX287.xml" ContentType="application/vnd.ms-office.activeX+xml"/>
  <Override PartName="/xl/activeX/activeX287.bin" ContentType="application/vnd.ms-office.activeX"/>
  <Override PartName="/xl/activeX/activeX288.xml" ContentType="application/vnd.ms-office.activeX+xml"/>
  <Override PartName="/xl/activeX/activeX288.bin" ContentType="application/vnd.ms-office.activeX"/>
  <Override PartName="/xl/activeX/activeX289.xml" ContentType="application/vnd.ms-office.activeX+xml"/>
  <Override PartName="/xl/activeX/activeX289.bin" ContentType="application/vnd.ms-office.activeX"/>
  <Override PartName="/xl/activeX/activeX290.xml" ContentType="application/vnd.ms-office.activeX+xml"/>
  <Override PartName="/xl/activeX/activeX290.bin" ContentType="application/vnd.ms-office.activeX"/>
  <Override PartName="/xl/activeX/activeX291.xml" ContentType="application/vnd.ms-office.activeX+xml"/>
  <Override PartName="/xl/activeX/activeX291.bin" ContentType="application/vnd.ms-office.activeX"/>
  <Override PartName="/xl/activeX/activeX292.xml" ContentType="application/vnd.ms-office.activeX+xml"/>
  <Override PartName="/xl/activeX/activeX292.bin" ContentType="application/vnd.ms-office.activeX"/>
  <Override PartName="/xl/activeX/activeX293.xml" ContentType="application/vnd.ms-office.activeX+xml"/>
  <Override PartName="/xl/activeX/activeX293.bin" ContentType="application/vnd.ms-office.activeX"/>
  <Override PartName="/xl/activeX/activeX294.xml" ContentType="application/vnd.ms-office.activeX+xml"/>
  <Override PartName="/xl/activeX/activeX294.bin" ContentType="application/vnd.ms-office.activeX"/>
  <Override PartName="/xl/activeX/activeX295.xml" ContentType="application/vnd.ms-office.activeX+xml"/>
  <Override PartName="/xl/activeX/activeX295.bin" ContentType="application/vnd.ms-office.activeX"/>
  <Override PartName="/xl/activeX/activeX296.xml" ContentType="application/vnd.ms-office.activeX+xml"/>
  <Override PartName="/xl/activeX/activeX296.bin" ContentType="application/vnd.ms-office.activeX"/>
  <Override PartName="/xl/activeX/activeX297.xml" ContentType="application/vnd.ms-office.activeX+xml"/>
  <Override PartName="/xl/activeX/activeX297.bin" ContentType="application/vnd.ms-office.activeX"/>
  <Override PartName="/xl/activeX/activeX298.xml" ContentType="application/vnd.ms-office.activeX+xml"/>
  <Override PartName="/xl/activeX/activeX298.bin" ContentType="application/vnd.ms-office.activeX"/>
  <Override PartName="/xl/activeX/activeX299.xml" ContentType="application/vnd.ms-office.activeX+xml"/>
  <Override PartName="/xl/activeX/activeX299.bin" ContentType="application/vnd.ms-office.activeX"/>
  <Override PartName="/xl/activeX/activeX300.xml" ContentType="application/vnd.ms-office.activeX+xml"/>
  <Override PartName="/xl/activeX/activeX300.bin" ContentType="application/vnd.ms-office.activeX"/>
  <Override PartName="/xl/activeX/activeX301.xml" ContentType="application/vnd.ms-office.activeX+xml"/>
  <Override PartName="/xl/activeX/activeX301.bin" ContentType="application/vnd.ms-office.activeX"/>
  <Override PartName="/xl/activeX/activeX302.xml" ContentType="application/vnd.ms-office.activeX+xml"/>
  <Override PartName="/xl/activeX/activeX302.bin" ContentType="application/vnd.ms-office.activeX"/>
  <Override PartName="/xl/activeX/activeX303.xml" ContentType="application/vnd.ms-office.activeX+xml"/>
  <Override PartName="/xl/activeX/activeX303.bin" ContentType="application/vnd.ms-office.activeX"/>
  <Override PartName="/xl/activeX/activeX304.xml" ContentType="application/vnd.ms-office.activeX+xml"/>
  <Override PartName="/xl/activeX/activeX304.bin" ContentType="application/vnd.ms-office.activeX"/>
  <Override PartName="/xl/activeX/activeX305.xml" ContentType="application/vnd.ms-office.activeX+xml"/>
  <Override PartName="/xl/activeX/activeX305.bin" ContentType="application/vnd.ms-office.activeX"/>
  <Override PartName="/xl/activeX/activeX306.xml" ContentType="application/vnd.ms-office.activeX+xml"/>
  <Override PartName="/xl/activeX/activeX306.bin" ContentType="application/vnd.ms-office.activeX"/>
  <Override PartName="/xl/activeX/activeX307.xml" ContentType="application/vnd.ms-office.activeX+xml"/>
  <Override PartName="/xl/activeX/activeX307.bin" ContentType="application/vnd.ms-office.activeX"/>
  <Override PartName="/xl/activeX/activeX308.xml" ContentType="application/vnd.ms-office.activeX+xml"/>
  <Override PartName="/xl/activeX/activeX308.bin" ContentType="application/vnd.ms-office.activeX"/>
  <Override PartName="/xl/activeX/activeX309.xml" ContentType="application/vnd.ms-office.activeX+xml"/>
  <Override PartName="/xl/activeX/activeX309.bin" ContentType="application/vnd.ms-office.activeX"/>
  <Override PartName="/xl/activeX/activeX310.xml" ContentType="application/vnd.ms-office.activeX+xml"/>
  <Override PartName="/xl/activeX/activeX310.bin" ContentType="application/vnd.ms-office.activeX"/>
  <Override PartName="/xl/activeX/activeX311.xml" ContentType="application/vnd.ms-office.activeX+xml"/>
  <Override PartName="/xl/activeX/activeX311.bin" ContentType="application/vnd.ms-office.activeX"/>
  <Override PartName="/xl/activeX/activeX312.xml" ContentType="application/vnd.ms-office.activeX+xml"/>
  <Override PartName="/xl/activeX/activeX312.bin" ContentType="application/vnd.ms-office.activeX"/>
  <Override PartName="/xl/activeX/activeX313.xml" ContentType="application/vnd.ms-office.activeX+xml"/>
  <Override PartName="/xl/activeX/activeX313.bin" ContentType="application/vnd.ms-office.activeX"/>
  <Override PartName="/xl/activeX/activeX314.xml" ContentType="application/vnd.ms-office.activeX+xml"/>
  <Override PartName="/xl/activeX/activeX314.bin" ContentType="application/vnd.ms-office.activeX"/>
  <Override PartName="/xl/activeX/activeX315.xml" ContentType="application/vnd.ms-office.activeX+xml"/>
  <Override PartName="/xl/activeX/activeX315.bin" ContentType="application/vnd.ms-office.activeX"/>
  <Override PartName="/xl/activeX/activeX316.xml" ContentType="application/vnd.ms-office.activeX+xml"/>
  <Override PartName="/xl/activeX/activeX316.bin" ContentType="application/vnd.ms-office.activeX"/>
  <Override PartName="/xl/activeX/activeX317.xml" ContentType="application/vnd.ms-office.activeX+xml"/>
  <Override PartName="/xl/activeX/activeX317.bin" ContentType="application/vnd.ms-office.activeX"/>
  <Override PartName="/xl/activeX/activeX318.xml" ContentType="application/vnd.ms-office.activeX+xml"/>
  <Override PartName="/xl/activeX/activeX318.bin" ContentType="application/vnd.ms-office.activeX"/>
  <Override PartName="/xl/activeX/activeX319.xml" ContentType="application/vnd.ms-office.activeX+xml"/>
  <Override PartName="/xl/activeX/activeX319.bin" ContentType="application/vnd.ms-office.activeX"/>
  <Override PartName="/xl/activeX/activeX320.xml" ContentType="application/vnd.ms-office.activeX+xml"/>
  <Override PartName="/xl/activeX/activeX320.bin" ContentType="application/vnd.ms-office.activeX"/>
  <Override PartName="/xl/activeX/activeX321.xml" ContentType="application/vnd.ms-office.activeX+xml"/>
  <Override PartName="/xl/activeX/activeX321.bin" ContentType="application/vnd.ms-office.activeX"/>
  <Override PartName="/xl/activeX/activeX322.xml" ContentType="application/vnd.ms-office.activeX+xml"/>
  <Override PartName="/xl/activeX/activeX322.bin" ContentType="application/vnd.ms-office.activeX"/>
  <Override PartName="/xl/activeX/activeX323.xml" ContentType="application/vnd.ms-office.activeX+xml"/>
  <Override PartName="/xl/activeX/activeX323.bin" ContentType="application/vnd.ms-office.activeX"/>
  <Override PartName="/xl/activeX/activeX324.xml" ContentType="application/vnd.ms-office.activeX+xml"/>
  <Override PartName="/xl/activeX/activeX324.bin" ContentType="application/vnd.ms-office.activeX"/>
  <Override PartName="/xl/activeX/activeX325.xml" ContentType="application/vnd.ms-office.activeX+xml"/>
  <Override PartName="/xl/activeX/activeX325.bin" ContentType="application/vnd.ms-office.activeX"/>
  <Override PartName="/xl/activeX/activeX326.xml" ContentType="application/vnd.ms-office.activeX+xml"/>
  <Override PartName="/xl/activeX/activeX326.bin" ContentType="application/vnd.ms-office.activeX"/>
  <Override PartName="/xl/activeX/activeX327.xml" ContentType="application/vnd.ms-office.activeX+xml"/>
  <Override PartName="/xl/activeX/activeX327.bin" ContentType="application/vnd.ms-office.activeX"/>
  <Override PartName="/xl/activeX/activeX328.xml" ContentType="application/vnd.ms-office.activeX+xml"/>
  <Override PartName="/xl/activeX/activeX328.bin" ContentType="application/vnd.ms-office.activeX"/>
  <Override PartName="/xl/activeX/activeX329.xml" ContentType="application/vnd.ms-office.activeX+xml"/>
  <Override PartName="/xl/activeX/activeX329.bin" ContentType="application/vnd.ms-office.activeX"/>
  <Override PartName="/xl/activeX/activeX330.xml" ContentType="application/vnd.ms-office.activeX+xml"/>
  <Override PartName="/xl/activeX/activeX330.bin" ContentType="application/vnd.ms-office.activeX"/>
  <Override PartName="/xl/activeX/activeX331.xml" ContentType="application/vnd.ms-office.activeX+xml"/>
  <Override PartName="/xl/activeX/activeX331.bin" ContentType="application/vnd.ms-office.activeX"/>
  <Override PartName="/xl/activeX/activeX332.xml" ContentType="application/vnd.ms-office.activeX+xml"/>
  <Override PartName="/xl/activeX/activeX332.bin" ContentType="application/vnd.ms-office.activeX"/>
  <Override PartName="/xl/activeX/activeX333.xml" ContentType="application/vnd.ms-office.activeX+xml"/>
  <Override PartName="/xl/activeX/activeX333.bin" ContentType="application/vnd.ms-office.activeX"/>
  <Override PartName="/xl/activeX/activeX334.xml" ContentType="application/vnd.ms-office.activeX+xml"/>
  <Override PartName="/xl/activeX/activeX334.bin" ContentType="application/vnd.ms-office.activeX"/>
  <Override PartName="/xl/activeX/activeX335.xml" ContentType="application/vnd.ms-office.activeX+xml"/>
  <Override PartName="/xl/activeX/activeX335.bin" ContentType="application/vnd.ms-office.activeX"/>
  <Override PartName="/xl/activeX/activeX336.xml" ContentType="application/vnd.ms-office.activeX+xml"/>
  <Override PartName="/xl/activeX/activeX336.bin" ContentType="application/vnd.ms-office.activeX"/>
  <Override PartName="/xl/activeX/activeX337.xml" ContentType="application/vnd.ms-office.activeX+xml"/>
  <Override PartName="/xl/activeX/activeX337.bin" ContentType="application/vnd.ms-office.activeX"/>
  <Override PartName="/xl/activeX/activeX338.xml" ContentType="application/vnd.ms-office.activeX+xml"/>
  <Override PartName="/xl/activeX/activeX338.bin" ContentType="application/vnd.ms-office.activeX"/>
  <Override PartName="/xl/activeX/activeX339.xml" ContentType="application/vnd.ms-office.activeX+xml"/>
  <Override PartName="/xl/activeX/activeX339.bin" ContentType="application/vnd.ms-office.activeX"/>
  <Override PartName="/xl/activeX/activeX340.xml" ContentType="application/vnd.ms-office.activeX+xml"/>
  <Override PartName="/xl/activeX/activeX340.bin" ContentType="application/vnd.ms-office.activeX"/>
  <Override PartName="/xl/activeX/activeX341.xml" ContentType="application/vnd.ms-office.activeX+xml"/>
  <Override PartName="/xl/activeX/activeX341.bin" ContentType="application/vnd.ms-office.activeX"/>
  <Override PartName="/xl/activeX/activeX342.xml" ContentType="application/vnd.ms-office.activeX+xml"/>
  <Override PartName="/xl/activeX/activeX342.bin" ContentType="application/vnd.ms-office.activeX"/>
  <Override PartName="/xl/activeX/activeX343.xml" ContentType="application/vnd.ms-office.activeX+xml"/>
  <Override PartName="/xl/activeX/activeX343.bin" ContentType="application/vnd.ms-office.activeX"/>
  <Override PartName="/xl/activeX/activeX344.xml" ContentType="application/vnd.ms-office.activeX+xml"/>
  <Override PartName="/xl/activeX/activeX344.bin" ContentType="application/vnd.ms-office.activeX"/>
  <Override PartName="/xl/activeX/activeX345.xml" ContentType="application/vnd.ms-office.activeX+xml"/>
  <Override PartName="/xl/activeX/activeX345.bin" ContentType="application/vnd.ms-office.activeX"/>
  <Override PartName="/xl/activeX/activeX346.xml" ContentType="application/vnd.ms-office.activeX+xml"/>
  <Override PartName="/xl/activeX/activeX346.bin" ContentType="application/vnd.ms-office.activeX"/>
  <Override PartName="/xl/activeX/activeX347.xml" ContentType="application/vnd.ms-office.activeX+xml"/>
  <Override PartName="/xl/activeX/activeX347.bin" ContentType="application/vnd.ms-office.activeX"/>
  <Override PartName="/xl/activeX/activeX348.xml" ContentType="application/vnd.ms-office.activeX+xml"/>
  <Override PartName="/xl/activeX/activeX348.bin" ContentType="application/vnd.ms-office.activeX"/>
  <Override PartName="/xl/activeX/activeX349.xml" ContentType="application/vnd.ms-office.activeX+xml"/>
  <Override PartName="/xl/activeX/activeX349.bin" ContentType="application/vnd.ms-office.activeX"/>
  <Override PartName="/xl/activeX/activeX350.xml" ContentType="application/vnd.ms-office.activeX+xml"/>
  <Override PartName="/xl/activeX/activeX350.bin" ContentType="application/vnd.ms-office.activeX"/>
  <Override PartName="/xl/activeX/activeX351.xml" ContentType="application/vnd.ms-office.activeX+xml"/>
  <Override PartName="/xl/activeX/activeX351.bin" ContentType="application/vnd.ms-office.activeX"/>
  <Override PartName="/xl/activeX/activeX352.xml" ContentType="application/vnd.ms-office.activeX+xml"/>
  <Override PartName="/xl/activeX/activeX352.bin" ContentType="application/vnd.ms-office.activeX"/>
  <Override PartName="/xl/activeX/activeX353.xml" ContentType="application/vnd.ms-office.activeX+xml"/>
  <Override PartName="/xl/activeX/activeX353.bin" ContentType="application/vnd.ms-office.activeX"/>
  <Override PartName="/xl/activeX/activeX354.xml" ContentType="application/vnd.ms-office.activeX+xml"/>
  <Override PartName="/xl/activeX/activeX354.bin" ContentType="application/vnd.ms-office.activeX"/>
  <Override PartName="/xl/activeX/activeX355.xml" ContentType="application/vnd.ms-office.activeX+xml"/>
  <Override PartName="/xl/activeX/activeX355.bin" ContentType="application/vnd.ms-office.activeX"/>
  <Override PartName="/xl/activeX/activeX356.xml" ContentType="application/vnd.ms-office.activeX+xml"/>
  <Override PartName="/xl/activeX/activeX356.bin" ContentType="application/vnd.ms-office.activeX"/>
  <Override PartName="/xl/activeX/activeX357.xml" ContentType="application/vnd.ms-office.activeX+xml"/>
  <Override PartName="/xl/activeX/activeX357.bin" ContentType="application/vnd.ms-office.activeX"/>
  <Override PartName="/xl/activeX/activeX358.xml" ContentType="application/vnd.ms-office.activeX+xml"/>
  <Override PartName="/xl/activeX/activeX358.bin" ContentType="application/vnd.ms-office.activeX"/>
  <Override PartName="/xl/activeX/activeX359.xml" ContentType="application/vnd.ms-office.activeX+xml"/>
  <Override PartName="/xl/activeX/activeX359.bin" ContentType="application/vnd.ms-office.activeX"/>
  <Override PartName="/xl/activeX/activeX360.xml" ContentType="application/vnd.ms-office.activeX+xml"/>
  <Override PartName="/xl/activeX/activeX360.bin" ContentType="application/vnd.ms-office.activeX"/>
  <Override PartName="/xl/activeX/activeX361.xml" ContentType="application/vnd.ms-office.activeX+xml"/>
  <Override PartName="/xl/activeX/activeX361.bin" ContentType="application/vnd.ms-office.activeX"/>
  <Override PartName="/xl/activeX/activeX362.xml" ContentType="application/vnd.ms-office.activeX+xml"/>
  <Override PartName="/xl/activeX/activeX362.bin" ContentType="application/vnd.ms-office.activeX"/>
  <Override PartName="/xl/activeX/activeX363.xml" ContentType="application/vnd.ms-office.activeX+xml"/>
  <Override PartName="/xl/activeX/activeX363.bin" ContentType="application/vnd.ms-office.activeX"/>
  <Override PartName="/xl/activeX/activeX364.xml" ContentType="application/vnd.ms-office.activeX+xml"/>
  <Override PartName="/xl/activeX/activeX364.bin" ContentType="application/vnd.ms-office.activeX"/>
  <Override PartName="/xl/activeX/activeX365.xml" ContentType="application/vnd.ms-office.activeX+xml"/>
  <Override PartName="/xl/activeX/activeX365.bin" ContentType="application/vnd.ms-office.activeX"/>
  <Override PartName="/xl/activeX/activeX366.xml" ContentType="application/vnd.ms-office.activeX+xml"/>
  <Override PartName="/xl/activeX/activeX366.bin" ContentType="application/vnd.ms-office.activeX"/>
  <Override PartName="/xl/activeX/activeX367.xml" ContentType="application/vnd.ms-office.activeX+xml"/>
  <Override PartName="/xl/activeX/activeX367.bin" ContentType="application/vnd.ms-office.activeX"/>
  <Override PartName="/xl/activeX/activeX368.xml" ContentType="application/vnd.ms-office.activeX+xml"/>
  <Override PartName="/xl/activeX/activeX368.bin" ContentType="application/vnd.ms-office.activeX"/>
  <Override PartName="/xl/activeX/activeX369.xml" ContentType="application/vnd.ms-office.activeX+xml"/>
  <Override PartName="/xl/activeX/activeX369.bin" ContentType="application/vnd.ms-office.activeX"/>
  <Override PartName="/xl/activeX/activeX370.xml" ContentType="application/vnd.ms-office.activeX+xml"/>
  <Override PartName="/xl/activeX/activeX370.bin" ContentType="application/vnd.ms-office.activeX"/>
  <Override PartName="/xl/activeX/activeX371.xml" ContentType="application/vnd.ms-office.activeX+xml"/>
  <Override PartName="/xl/activeX/activeX371.bin" ContentType="application/vnd.ms-office.activeX"/>
  <Override PartName="/xl/activeX/activeX372.xml" ContentType="application/vnd.ms-office.activeX+xml"/>
  <Override PartName="/xl/activeX/activeX372.bin" ContentType="application/vnd.ms-office.activeX"/>
  <Override PartName="/xl/activeX/activeX373.xml" ContentType="application/vnd.ms-office.activeX+xml"/>
  <Override PartName="/xl/activeX/activeX373.bin" ContentType="application/vnd.ms-office.activeX"/>
  <Override PartName="/xl/activeX/activeX374.xml" ContentType="application/vnd.ms-office.activeX+xml"/>
  <Override PartName="/xl/activeX/activeX374.bin" ContentType="application/vnd.ms-office.activeX"/>
  <Override PartName="/xl/activeX/activeX375.xml" ContentType="application/vnd.ms-office.activeX+xml"/>
  <Override PartName="/xl/activeX/activeX375.bin" ContentType="application/vnd.ms-office.activeX"/>
  <Override PartName="/xl/activeX/activeX376.xml" ContentType="application/vnd.ms-office.activeX+xml"/>
  <Override PartName="/xl/activeX/activeX376.bin" ContentType="application/vnd.ms-office.activeX"/>
  <Override PartName="/xl/activeX/activeX377.xml" ContentType="application/vnd.ms-office.activeX+xml"/>
  <Override PartName="/xl/activeX/activeX377.bin" ContentType="application/vnd.ms-office.activeX"/>
  <Override PartName="/xl/activeX/activeX378.xml" ContentType="application/vnd.ms-office.activeX+xml"/>
  <Override PartName="/xl/activeX/activeX378.bin" ContentType="application/vnd.ms-office.activeX"/>
  <Override PartName="/xl/activeX/activeX379.xml" ContentType="application/vnd.ms-office.activeX+xml"/>
  <Override PartName="/xl/activeX/activeX379.bin" ContentType="application/vnd.ms-office.activeX"/>
  <Override PartName="/xl/activeX/activeX380.xml" ContentType="application/vnd.ms-office.activeX+xml"/>
  <Override PartName="/xl/activeX/activeX380.bin" ContentType="application/vnd.ms-office.activeX"/>
  <Override PartName="/xl/activeX/activeX381.xml" ContentType="application/vnd.ms-office.activeX+xml"/>
  <Override PartName="/xl/activeX/activeX381.bin" ContentType="application/vnd.ms-office.activeX"/>
  <Override PartName="/xl/activeX/activeX382.xml" ContentType="application/vnd.ms-office.activeX+xml"/>
  <Override PartName="/xl/activeX/activeX382.bin" ContentType="application/vnd.ms-office.activeX"/>
  <Override PartName="/xl/activeX/activeX383.xml" ContentType="application/vnd.ms-office.activeX+xml"/>
  <Override PartName="/xl/activeX/activeX383.bin" ContentType="application/vnd.ms-office.activeX"/>
  <Override PartName="/xl/activeX/activeX384.xml" ContentType="application/vnd.ms-office.activeX+xml"/>
  <Override PartName="/xl/activeX/activeX384.bin" ContentType="application/vnd.ms-office.activeX"/>
  <Override PartName="/xl/activeX/activeX385.xml" ContentType="application/vnd.ms-office.activeX+xml"/>
  <Override PartName="/xl/activeX/activeX385.bin" ContentType="application/vnd.ms-office.activeX"/>
  <Override PartName="/xl/activeX/activeX386.xml" ContentType="application/vnd.ms-office.activeX+xml"/>
  <Override PartName="/xl/activeX/activeX386.bin" ContentType="application/vnd.ms-office.activeX"/>
  <Override PartName="/xl/activeX/activeX387.xml" ContentType="application/vnd.ms-office.activeX+xml"/>
  <Override PartName="/xl/activeX/activeX387.bin" ContentType="application/vnd.ms-office.activeX"/>
  <Override PartName="/xl/activeX/activeX388.xml" ContentType="application/vnd.ms-office.activeX+xml"/>
  <Override PartName="/xl/activeX/activeX388.bin" ContentType="application/vnd.ms-office.activeX"/>
  <Override PartName="/xl/activeX/activeX389.xml" ContentType="application/vnd.ms-office.activeX+xml"/>
  <Override PartName="/xl/activeX/activeX389.bin" ContentType="application/vnd.ms-office.activeX"/>
  <Override PartName="/xl/activeX/activeX390.xml" ContentType="application/vnd.ms-office.activeX+xml"/>
  <Override PartName="/xl/activeX/activeX390.bin" ContentType="application/vnd.ms-office.activeX"/>
  <Override PartName="/xl/activeX/activeX391.xml" ContentType="application/vnd.ms-office.activeX+xml"/>
  <Override PartName="/xl/activeX/activeX391.bin" ContentType="application/vnd.ms-office.activeX"/>
  <Override PartName="/xl/activeX/activeX392.xml" ContentType="application/vnd.ms-office.activeX+xml"/>
  <Override PartName="/xl/activeX/activeX392.bin" ContentType="application/vnd.ms-office.activeX"/>
  <Override PartName="/xl/comments2.xml" ContentType="application/vnd.openxmlformats-officedocument.spreadsheetml.comments+xml"/>
  <Override PartName="/xl/drawings/drawing3.xml" ContentType="application/vnd.openxmlformats-officedocument.drawing+xml"/>
  <Override PartName="/xl/activeX/activeX393.xml" ContentType="application/vnd.ms-office.activeX+xml"/>
  <Override PartName="/xl/activeX/activeX393.bin" ContentType="application/vnd.ms-office.activeX"/>
  <Override PartName="/xl/activeX/activeX394.xml" ContentType="application/vnd.ms-office.activeX+xml"/>
  <Override PartName="/xl/activeX/activeX394.bin" ContentType="application/vnd.ms-office.activeX"/>
  <Override PartName="/xl/activeX/activeX395.xml" ContentType="application/vnd.ms-office.activeX+xml"/>
  <Override PartName="/xl/activeX/activeX395.bin" ContentType="application/vnd.ms-office.activeX"/>
  <Override PartName="/xl/activeX/activeX396.xml" ContentType="application/vnd.ms-office.activeX+xml"/>
  <Override PartName="/xl/activeX/activeX396.bin" ContentType="application/vnd.ms-office.activeX"/>
  <Override PartName="/xl/activeX/activeX397.xml" ContentType="application/vnd.ms-office.activeX+xml"/>
  <Override PartName="/xl/activeX/activeX397.bin" ContentType="application/vnd.ms-office.activeX"/>
  <Override PartName="/xl/activeX/activeX398.xml" ContentType="application/vnd.ms-office.activeX+xml"/>
  <Override PartName="/xl/activeX/activeX398.bin" ContentType="application/vnd.ms-office.activeX"/>
  <Override PartName="/xl/activeX/activeX399.xml" ContentType="application/vnd.ms-office.activeX+xml"/>
  <Override PartName="/xl/activeX/activeX399.bin" ContentType="application/vnd.ms-office.activeX"/>
  <Override PartName="/xl/activeX/activeX400.xml" ContentType="application/vnd.ms-office.activeX+xml"/>
  <Override PartName="/xl/activeX/activeX400.bin" ContentType="application/vnd.ms-office.activeX"/>
  <Override PartName="/xl/activeX/activeX401.xml" ContentType="application/vnd.ms-office.activeX+xml"/>
  <Override PartName="/xl/activeX/activeX401.bin" ContentType="application/vnd.ms-office.activeX"/>
  <Override PartName="/xl/activeX/activeX402.xml" ContentType="application/vnd.ms-office.activeX+xml"/>
  <Override PartName="/xl/activeX/activeX402.bin" ContentType="application/vnd.ms-office.activeX"/>
  <Override PartName="/xl/activeX/activeX403.xml" ContentType="application/vnd.ms-office.activeX+xml"/>
  <Override PartName="/xl/activeX/activeX403.bin" ContentType="application/vnd.ms-office.activeX"/>
  <Override PartName="/xl/activeX/activeX404.xml" ContentType="application/vnd.ms-office.activeX+xml"/>
  <Override PartName="/xl/activeX/activeX404.bin" ContentType="application/vnd.ms-office.activeX"/>
  <Override PartName="/xl/activeX/activeX405.xml" ContentType="application/vnd.ms-office.activeX+xml"/>
  <Override PartName="/xl/activeX/activeX405.bin" ContentType="application/vnd.ms-office.activeX"/>
  <Override PartName="/xl/activeX/activeX406.xml" ContentType="application/vnd.ms-office.activeX+xml"/>
  <Override PartName="/xl/activeX/activeX406.bin" ContentType="application/vnd.ms-office.activeX"/>
  <Override PartName="/xl/activeX/activeX407.xml" ContentType="application/vnd.ms-office.activeX+xml"/>
  <Override PartName="/xl/activeX/activeX407.bin" ContentType="application/vnd.ms-office.activeX"/>
  <Override PartName="/xl/activeX/activeX408.xml" ContentType="application/vnd.ms-office.activeX+xml"/>
  <Override PartName="/xl/activeX/activeX408.bin" ContentType="application/vnd.ms-office.activeX"/>
  <Override PartName="/xl/activeX/activeX409.xml" ContentType="application/vnd.ms-office.activeX+xml"/>
  <Override PartName="/xl/activeX/activeX409.bin" ContentType="application/vnd.ms-office.activeX"/>
  <Override PartName="/xl/activeX/activeX410.xml" ContentType="application/vnd.ms-office.activeX+xml"/>
  <Override PartName="/xl/activeX/activeX410.bin" ContentType="application/vnd.ms-office.activeX"/>
  <Override PartName="/xl/activeX/activeX411.xml" ContentType="application/vnd.ms-office.activeX+xml"/>
  <Override PartName="/xl/activeX/activeX411.bin" ContentType="application/vnd.ms-office.activeX"/>
  <Override PartName="/xl/activeX/activeX412.xml" ContentType="application/vnd.ms-office.activeX+xml"/>
  <Override PartName="/xl/activeX/activeX412.bin" ContentType="application/vnd.ms-office.activeX"/>
  <Override PartName="/xl/activeX/activeX413.xml" ContentType="application/vnd.ms-office.activeX+xml"/>
  <Override PartName="/xl/activeX/activeX413.bin" ContentType="application/vnd.ms-office.activeX"/>
  <Override PartName="/xl/activeX/activeX414.xml" ContentType="application/vnd.ms-office.activeX+xml"/>
  <Override PartName="/xl/activeX/activeX414.bin" ContentType="application/vnd.ms-office.activeX"/>
  <Override PartName="/xl/activeX/activeX415.xml" ContentType="application/vnd.ms-office.activeX+xml"/>
  <Override PartName="/xl/activeX/activeX415.bin" ContentType="application/vnd.ms-office.activeX"/>
  <Override PartName="/xl/activeX/activeX416.xml" ContentType="application/vnd.ms-office.activeX+xml"/>
  <Override PartName="/xl/activeX/activeX416.bin" ContentType="application/vnd.ms-office.activeX"/>
  <Override PartName="/xl/activeX/activeX417.xml" ContentType="application/vnd.ms-office.activeX+xml"/>
  <Override PartName="/xl/activeX/activeX417.bin" ContentType="application/vnd.ms-office.activeX"/>
  <Override PartName="/xl/activeX/activeX418.xml" ContentType="application/vnd.ms-office.activeX+xml"/>
  <Override PartName="/xl/activeX/activeX418.bin" ContentType="application/vnd.ms-office.activeX"/>
  <Override PartName="/xl/activeX/activeX419.xml" ContentType="application/vnd.ms-office.activeX+xml"/>
  <Override PartName="/xl/activeX/activeX419.bin" ContentType="application/vnd.ms-office.activeX"/>
  <Override PartName="/xl/activeX/activeX420.xml" ContentType="application/vnd.ms-office.activeX+xml"/>
  <Override PartName="/xl/activeX/activeX420.bin" ContentType="application/vnd.ms-office.activeX"/>
  <Override PartName="/xl/activeX/activeX421.xml" ContentType="application/vnd.ms-office.activeX+xml"/>
  <Override PartName="/xl/activeX/activeX421.bin" ContentType="application/vnd.ms-office.activeX"/>
  <Override PartName="/xl/activeX/activeX422.xml" ContentType="application/vnd.ms-office.activeX+xml"/>
  <Override PartName="/xl/activeX/activeX422.bin" ContentType="application/vnd.ms-office.activeX"/>
  <Override PartName="/xl/activeX/activeX423.xml" ContentType="application/vnd.ms-office.activeX+xml"/>
  <Override PartName="/xl/activeX/activeX423.bin" ContentType="application/vnd.ms-office.activeX"/>
  <Override PartName="/xl/activeX/activeX424.xml" ContentType="application/vnd.ms-office.activeX+xml"/>
  <Override PartName="/xl/activeX/activeX424.bin" ContentType="application/vnd.ms-office.activeX"/>
  <Override PartName="/xl/activeX/activeX425.xml" ContentType="application/vnd.ms-office.activeX+xml"/>
  <Override PartName="/xl/activeX/activeX425.bin" ContentType="application/vnd.ms-office.activeX"/>
  <Override PartName="/xl/activeX/activeX426.xml" ContentType="application/vnd.ms-office.activeX+xml"/>
  <Override PartName="/xl/activeX/activeX426.bin" ContentType="application/vnd.ms-office.activeX"/>
  <Override PartName="/xl/activeX/activeX427.xml" ContentType="application/vnd.ms-office.activeX+xml"/>
  <Override PartName="/xl/activeX/activeX427.bin" ContentType="application/vnd.ms-office.activeX"/>
  <Override PartName="/xl/activeX/activeX428.xml" ContentType="application/vnd.ms-office.activeX+xml"/>
  <Override PartName="/xl/activeX/activeX428.bin" ContentType="application/vnd.ms-office.activeX"/>
  <Override PartName="/xl/activeX/activeX429.xml" ContentType="application/vnd.ms-office.activeX+xml"/>
  <Override PartName="/xl/activeX/activeX429.bin" ContentType="application/vnd.ms-office.activeX"/>
  <Override PartName="/xl/activeX/activeX430.xml" ContentType="application/vnd.ms-office.activeX+xml"/>
  <Override PartName="/xl/activeX/activeX430.bin" ContentType="application/vnd.ms-office.activeX"/>
  <Override PartName="/xl/activeX/activeX431.xml" ContentType="application/vnd.ms-office.activeX+xml"/>
  <Override PartName="/xl/activeX/activeX431.bin" ContentType="application/vnd.ms-office.activeX"/>
  <Override PartName="/xl/activeX/activeX432.xml" ContentType="application/vnd.ms-office.activeX+xml"/>
  <Override PartName="/xl/activeX/activeX432.bin" ContentType="application/vnd.ms-office.activeX"/>
  <Override PartName="/xl/activeX/activeX433.xml" ContentType="application/vnd.ms-office.activeX+xml"/>
  <Override PartName="/xl/activeX/activeX433.bin" ContentType="application/vnd.ms-office.activeX"/>
  <Override PartName="/xl/activeX/activeX434.xml" ContentType="application/vnd.ms-office.activeX+xml"/>
  <Override PartName="/xl/activeX/activeX434.bin" ContentType="application/vnd.ms-office.activeX"/>
  <Override PartName="/xl/activeX/activeX435.xml" ContentType="application/vnd.ms-office.activeX+xml"/>
  <Override PartName="/xl/activeX/activeX435.bin" ContentType="application/vnd.ms-office.activeX"/>
  <Override PartName="/xl/activeX/activeX436.xml" ContentType="application/vnd.ms-office.activeX+xml"/>
  <Override PartName="/xl/activeX/activeX436.bin" ContentType="application/vnd.ms-office.activeX"/>
  <Override PartName="/xl/activeX/activeX437.xml" ContentType="application/vnd.ms-office.activeX+xml"/>
  <Override PartName="/xl/activeX/activeX437.bin" ContentType="application/vnd.ms-office.activeX"/>
  <Override PartName="/xl/activeX/activeX438.xml" ContentType="application/vnd.ms-office.activeX+xml"/>
  <Override PartName="/xl/activeX/activeX438.bin" ContentType="application/vnd.ms-office.activeX"/>
  <Override PartName="/xl/activeX/activeX439.xml" ContentType="application/vnd.ms-office.activeX+xml"/>
  <Override PartName="/xl/activeX/activeX439.bin" ContentType="application/vnd.ms-office.activeX"/>
  <Override PartName="/xl/activeX/activeX440.xml" ContentType="application/vnd.ms-office.activeX+xml"/>
  <Override PartName="/xl/activeX/activeX440.bin" ContentType="application/vnd.ms-office.activeX"/>
  <Override PartName="/xl/activeX/activeX441.xml" ContentType="application/vnd.ms-office.activeX+xml"/>
  <Override PartName="/xl/activeX/activeX441.bin" ContentType="application/vnd.ms-office.activeX"/>
  <Override PartName="/xl/activeX/activeX442.xml" ContentType="application/vnd.ms-office.activeX+xml"/>
  <Override PartName="/xl/activeX/activeX442.bin" ContentType="application/vnd.ms-office.activeX"/>
  <Override PartName="/xl/activeX/activeX443.xml" ContentType="application/vnd.ms-office.activeX+xml"/>
  <Override PartName="/xl/activeX/activeX443.bin" ContentType="application/vnd.ms-office.activeX"/>
  <Override PartName="/xl/activeX/activeX444.xml" ContentType="application/vnd.ms-office.activeX+xml"/>
  <Override PartName="/xl/activeX/activeX444.bin" ContentType="application/vnd.ms-office.activeX"/>
  <Override PartName="/xl/activeX/activeX445.xml" ContentType="application/vnd.ms-office.activeX+xml"/>
  <Override PartName="/xl/activeX/activeX445.bin" ContentType="application/vnd.ms-office.activeX"/>
  <Override PartName="/xl/activeX/activeX446.xml" ContentType="application/vnd.ms-office.activeX+xml"/>
  <Override PartName="/xl/activeX/activeX446.bin" ContentType="application/vnd.ms-office.activeX"/>
  <Override PartName="/xl/activeX/activeX447.xml" ContentType="application/vnd.ms-office.activeX+xml"/>
  <Override PartName="/xl/activeX/activeX447.bin" ContentType="application/vnd.ms-office.activeX"/>
  <Override PartName="/xl/activeX/activeX448.xml" ContentType="application/vnd.ms-office.activeX+xml"/>
  <Override PartName="/xl/activeX/activeX448.bin" ContentType="application/vnd.ms-office.activeX"/>
  <Override PartName="/xl/activeX/activeX449.xml" ContentType="application/vnd.ms-office.activeX+xml"/>
  <Override PartName="/xl/activeX/activeX449.bin" ContentType="application/vnd.ms-office.activeX"/>
  <Override PartName="/xl/activeX/activeX450.xml" ContentType="application/vnd.ms-office.activeX+xml"/>
  <Override PartName="/xl/activeX/activeX450.bin" ContentType="application/vnd.ms-office.activeX"/>
  <Override PartName="/xl/activeX/activeX451.xml" ContentType="application/vnd.ms-office.activeX+xml"/>
  <Override PartName="/xl/activeX/activeX451.bin" ContentType="application/vnd.ms-office.activeX"/>
  <Override PartName="/xl/activeX/activeX452.xml" ContentType="application/vnd.ms-office.activeX+xml"/>
  <Override PartName="/xl/activeX/activeX452.bin" ContentType="application/vnd.ms-office.activeX"/>
  <Override PartName="/xl/activeX/activeX453.xml" ContentType="application/vnd.ms-office.activeX+xml"/>
  <Override PartName="/xl/activeX/activeX453.bin" ContentType="application/vnd.ms-office.activeX"/>
  <Override PartName="/xl/activeX/activeX454.xml" ContentType="application/vnd.ms-office.activeX+xml"/>
  <Override PartName="/xl/activeX/activeX454.bin" ContentType="application/vnd.ms-office.activeX"/>
  <Override PartName="/xl/activeX/activeX455.xml" ContentType="application/vnd.ms-office.activeX+xml"/>
  <Override PartName="/xl/activeX/activeX455.bin" ContentType="application/vnd.ms-office.activeX"/>
  <Override PartName="/xl/activeX/activeX456.xml" ContentType="application/vnd.ms-office.activeX+xml"/>
  <Override PartName="/xl/activeX/activeX456.bin" ContentType="application/vnd.ms-office.activeX"/>
  <Override PartName="/xl/activeX/activeX457.xml" ContentType="application/vnd.ms-office.activeX+xml"/>
  <Override PartName="/xl/activeX/activeX457.bin" ContentType="application/vnd.ms-office.activeX"/>
  <Override PartName="/xl/activeX/activeX458.xml" ContentType="application/vnd.ms-office.activeX+xml"/>
  <Override PartName="/xl/activeX/activeX458.bin" ContentType="application/vnd.ms-office.activeX"/>
  <Override PartName="/xl/activeX/activeX459.xml" ContentType="application/vnd.ms-office.activeX+xml"/>
  <Override PartName="/xl/activeX/activeX459.bin" ContentType="application/vnd.ms-office.activeX"/>
  <Override PartName="/xl/activeX/activeX460.xml" ContentType="application/vnd.ms-office.activeX+xml"/>
  <Override PartName="/xl/activeX/activeX460.bin" ContentType="application/vnd.ms-office.activeX"/>
  <Override PartName="/xl/activeX/activeX461.xml" ContentType="application/vnd.ms-office.activeX+xml"/>
  <Override PartName="/xl/activeX/activeX461.bin" ContentType="application/vnd.ms-office.activeX"/>
  <Override PartName="/xl/activeX/activeX462.xml" ContentType="application/vnd.ms-office.activeX+xml"/>
  <Override PartName="/xl/activeX/activeX462.bin" ContentType="application/vnd.ms-office.activeX"/>
  <Override PartName="/xl/activeX/activeX463.xml" ContentType="application/vnd.ms-office.activeX+xml"/>
  <Override PartName="/xl/activeX/activeX463.bin" ContentType="application/vnd.ms-office.activeX"/>
  <Override PartName="/xl/activeX/activeX464.xml" ContentType="application/vnd.ms-office.activeX+xml"/>
  <Override PartName="/xl/activeX/activeX464.bin" ContentType="application/vnd.ms-office.activeX"/>
  <Override PartName="/xl/activeX/activeX465.xml" ContentType="application/vnd.ms-office.activeX+xml"/>
  <Override PartName="/xl/activeX/activeX465.bin" ContentType="application/vnd.ms-office.activeX"/>
  <Override PartName="/xl/activeX/activeX466.xml" ContentType="application/vnd.ms-office.activeX+xml"/>
  <Override PartName="/xl/activeX/activeX466.bin" ContentType="application/vnd.ms-office.activeX"/>
  <Override PartName="/xl/activeX/activeX467.xml" ContentType="application/vnd.ms-office.activeX+xml"/>
  <Override PartName="/xl/activeX/activeX467.bin" ContentType="application/vnd.ms-office.activeX"/>
  <Override PartName="/xl/activeX/activeX468.xml" ContentType="application/vnd.ms-office.activeX+xml"/>
  <Override PartName="/xl/activeX/activeX468.bin" ContentType="application/vnd.ms-office.activeX"/>
  <Override PartName="/xl/activeX/activeX469.xml" ContentType="application/vnd.ms-office.activeX+xml"/>
  <Override PartName="/xl/activeX/activeX469.bin" ContentType="application/vnd.ms-office.activeX"/>
  <Override PartName="/xl/activeX/activeX470.xml" ContentType="application/vnd.ms-office.activeX+xml"/>
  <Override PartName="/xl/activeX/activeX470.bin" ContentType="application/vnd.ms-office.activeX"/>
  <Override PartName="/xl/activeX/activeX471.xml" ContentType="application/vnd.ms-office.activeX+xml"/>
  <Override PartName="/xl/activeX/activeX471.bin" ContentType="application/vnd.ms-office.activeX"/>
  <Override PartName="/xl/activeX/activeX472.xml" ContentType="application/vnd.ms-office.activeX+xml"/>
  <Override PartName="/xl/activeX/activeX472.bin" ContentType="application/vnd.ms-office.activeX"/>
  <Override PartName="/xl/activeX/activeX473.xml" ContentType="application/vnd.ms-office.activeX+xml"/>
  <Override PartName="/xl/activeX/activeX473.bin" ContentType="application/vnd.ms-office.activeX"/>
  <Override PartName="/xl/activeX/activeX474.xml" ContentType="application/vnd.ms-office.activeX+xml"/>
  <Override PartName="/xl/activeX/activeX474.bin" ContentType="application/vnd.ms-office.activeX"/>
  <Override PartName="/xl/activeX/activeX475.xml" ContentType="application/vnd.ms-office.activeX+xml"/>
  <Override PartName="/xl/activeX/activeX475.bin" ContentType="application/vnd.ms-office.activeX"/>
  <Override PartName="/xl/activeX/activeX476.xml" ContentType="application/vnd.ms-office.activeX+xml"/>
  <Override PartName="/xl/activeX/activeX476.bin" ContentType="application/vnd.ms-office.activeX"/>
  <Override PartName="/xl/activeX/activeX477.xml" ContentType="application/vnd.ms-office.activeX+xml"/>
  <Override PartName="/xl/activeX/activeX477.bin" ContentType="application/vnd.ms-office.activeX"/>
  <Override PartName="/xl/activeX/activeX478.xml" ContentType="application/vnd.ms-office.activeX+xml"/>
  <Override PartName="/xl/activeX/activeX478.bin" ContentType="application/vnd.ms-office.activeX"/>
  <Override PartName="/xl/activeX/activeX479.xml" ContentType="application/vnd.ms-office.activeX+xml"/>
  <Override PartName="/xl/activeX/activeX479.bin" ContentType="application/vnd.ms-office.activeX"/>
  <Override PartName="/xl/activeX/activeX480.xml" ContentType="application/vnd.ms-office.activeX+xml"/>
  <Override PartName="/xl/activeX/activeX480.bin" ContentType="application/vnd.ms-office.activeX"/>
  <Override PartName="/xl/activeX/activeX481.xml" ContentType="application/vnd.ms-office.activeX+xml"/>
  <Override PartName="/xl/activeX/activeX481.bin" ContentType="application/vnd.ms-office.activeX"/>
  <Override PartName="/xl/activeX/activeX482.xml" ContentType="application/vnd.ms-office.activeX+xml"/>
  <Override PartName="/xl/activeX/activeX482.bin" ContentType="application/vnd.ms-office.activeX"/>
  <Override PartName="/xl/activeX/activeX483.xml" ContentType="application/vnd.ms-office.activeX+xml"/>
  <Override PartName="/xl/activeX/activeX483.bin" ContentType="application/vnd.ms-office.activeX"/>
  <Override PartName="/xl/activeX/activeX484.xml" ContentType="application/vnd.ms-office.activeX+xml"/>
  <Override PartName="/xl/activeX/activeX484.bin" ContentType="application/vnd.ms-office.activeX"/>
  <Override PartName="/xl/activeX/activeX485.xml" ContentType="application/vnd.ms-office.activeX+xml"/>
  <Override PartName="/xl/activeX/activeX485.bin" ContentType="application/vnd.ms-office.activeX"/>
  <Override PartName="/xl/activeX/activeX486.xml" ContentType="application/vnd.ms-office.activeX+xml"/>
  <Override PartName="/xl/activeX/activeX486.bin" ContentType="application/vnd.ms-office.activeX"/>
  <Override PartName="/xl/activeX/activeX487.xml" ContentType="application/vnd.ms-office.activeX+xml"/>
  <Override PartName="/xl/activeX/activeX487.bin" ContentType="application/vnd.ms-office.activeX"/>
  <Override PartName="/xl/activeX/activeX488.xml" ContentType="application/vnd.ms-office.activeX+xml"/>
  <Override PartName="/xl/activeX/activeX488.bin" ContentType="application/vnd.ms-office.activeX"/>
  <Override PartName="/xl/activeX/activeX489.xml" ContentType="application/vnd.ms-office.activeX+xml"/>
  <Override PartName="/xl/activeX/activeX489.bin" ContentType="application/vnd.ms-office.activeX"/>
  <Override PartName="/xl/activeX/activeX490.xml" ContentType="application/vnd.ms-office.activeX+xml"/>
  <Override PartName="/xl/activeX/activeX490.bin" ContentType="application/vnd.ms-office.activeX"/>
  <Override PartName="/xl/activeX/activeX491.xml" ContentType="application/vnd.ms-office.activeX+xml"/>
  <Override PartName="/xl/activeX/activeX491.bin" ContentType="application/vnd.ms-office.activeX"/>
  <Override PartName="/xl/activeX/activeX492.xml" ContentType="application/vnd.ms-office.activeX+xml"/>
  <Override PartName="/xl/activeX/activeX492.bin" ContentType="application/vnd.ms-office.activeX"/>
  <Override PartName="/xl/activeX/activeX493.xml" ContentType="application/vnd.ms-office.activeX+xml"/>
  <Override PartName="/xl/activeX/activeX493.bin" ContentType="application/vnd.ms-office.activeX"/>
  <Override PartName="/xl/activeX/activeX494.xml" ContentType="application/vnd.ms-office.activeX+xml"/>
  <Override PartName="/xl/activeX/activeX494.bin" ContentType="application/vnd.ms-office.activeX"/>
  <Override PartName="/xl/activeX/activeX495.xml" ContentType="application/vnd.ms-office.activeX+xml"/>
  <Override PartName="/xl/activeX/activeX495.bin" ContentType="application/vnd.ms-office.activeX"/>
  <Override PartName="/xl/activeX/activeX496.xml" ContentType="application/vnd.ms-office.activeX+xml"/>
  <Override PartName="/xl/activeX/activeX496.bin" ContentType="application/vnd.ms-office.activeX"/>
  <Override PartName="/xl/activeX/activeX497.xml" ContentType="application/vnd.ms-office.activeX+xml"/>
  <Override PartName="/xl/activeX/activeX497.bin" ContentType="application/vnd.ms-office.activeX"/>
  <Override PartName="/xl/activeX/activeX498.xml" ContentType="application/vnd.ms-office.activeX+xml"/>
  <Override PartName="/xl/activeX/activeX498.bin" ContentType="application/vnd.ms-office.activeX"/>
  <Override PartName="/xl/activeX/activeX499.xml" ContentType="application/vnd.ms-office.activeX+xml"/>
  <Override PartName="/xl/activeX/activeX499.bin" ContentType="application/vnd.ms-office.activeX"/>
  <Override PartName="/xl/activeX/activeX500.xml" ContentType="application/vnd.ms-office.activeX+xml"/>
  <Override PartName="/xl/activeX/activeX500.bin" ContentType="application/vnd.ms-office.activeX"/>
  <Override PartName="/xl/activeX/activeX501.xml" ContentType="application/vnd.ms-office.activeX+xml"/>
  <Override PartName="/xl/activeX/activeX501.bin" ContentType="application/vnd.ms-office.activeX"/>
  <Override PartName="/xl/activeX/activeX502.xml" ContentType="application/vnd.ms-office.activeX+xml"/>
  <Override PartName="/xl/activeX/activeX502.bin" ContentType="application/vnd.ms-office.activeX"/>
  <Override PartName="/xl/activeX/activeX503.xml" ContentType="application/vnd.ms-office.activeX+xml"/>
  <Override PartName="/xl/activeX/activeX503.bin" ContentType="application/vnd.ms-office.activeX"/>
  <Override PartName="/xl/activeX/activeX504.xml" ContentType="application/vnd.ms-office.activeX+xml"/>
  <Override PartName="/xl/activeX/activeX504.bin" ContentType="application/vnd.ms-office.activeX"/>
  <Override PartName="/xl/activeX/activeX505.xml" ContentType="application/vnd.ms-office.activeX+xml"/>
  <Override PartName="/xl/activeX/activeX505.bin" ContentType="application/vnd.ms-office.activeX"/>
  <Override PartName="/xl/activeX/activeX506.xml" ContentType="application/vnd.ms-office.activeX+xml"/>
  <Override PartName="/xl/activeX/activeX506.bin" ContentType="application/vnd.ms-office.activeX"/>
  <Override PartName="/xl/activeX/activeX507.xml" ContentType="application/vnd.ms-office.activeX+xml"/>
  <Override PartName="/xl/activeX/activeX507.bin" ContentType="application/vnd.ms-office.activeX"/>
  <Override PartName="/xl/activeX/activeX508.xml" ContentType="application/vnd.ms-office.activeX+xml"/>
  <Override PartName="/xl/activeX/activeX508.bin" ContentType="application/vnd.ms-office.activeX"/>
  <Override PartName="/xl/activeX/activeX509.xml" ContentType="application/vnd.ms-office.activeX+xml"/>
  <Override PartName="/xl/activeX/activeX509.bin" ContentType="application/vnd.ms-office.activeX"/>
  <Override PartName="/xl/activeX/activeX510.xml" ContentType="application/vnd.ms-office.activeX+xml"/>
  <Override PartName="/xl/activeX/activeX510.bin" ContentType="application/vnd.ms-office.activeX"/>
  <Override PartName="/xl/activeX/activeX511.xml" ContentType="application/vnd.ms-office.activeX+xml"/>
  <Override PartName="/xl/activeX/activeX511.bin" ContentType="application/vnd.ms-office.activeX"/>
  <Override PartName="/xl/activeX/activeX512.xml" ContentType="application/vnd.ms-office.activeX+xml"/>
  <Override PartName="/xl/activeX/activeX512.bin" ContentType="application/vnd.ms-office.activeX"/>
  <Override PartName="/xl/activeX/activeX513.xml" ContentType="application/vnd.ms-office.activeX+xml"/>
  <Override PartName="/xl/activeX/activeX513.bin" ContentType="application/vnd.ms-office.activeX"/>
  <Override PartName="/xl/activeX/activeX514.xml" ContentType="application/vnd.ms-office.activeX+xml"/>
  <Override PartName="/xl/activeX/activeX514.bin" ContentType="application/vnd.ms-office.activeX"/>
  <Override PartName="/xl/activeX/activeX515.xml" ContentType="application/vnd.ms-office.activeX+xml"/>
  <Override PartName="/xl/activeX/activeX515.bin" ContentType="application/vnd.ms-office.activeX"/>
  <Override PartName="/xl/activeX/activeX516.xml" ContentType="application/vnd.ms-office.activeX+xml"/>
  <Override PartName="/xl/activeX/activeX516.bin" ContentType="application/vnd.ms-office.activeX"/>
  <Override PartName="/xl/activeX/activeX517.xml" ContentType="application/vnd.ms-office.activeX+xml"/>
  <Override PartName="/xl/activeX/activeX517.bin" ContentType="application/vnd.ms-office.activeX"/>
  <Override PartName="/xl/activeX/activeX518.xml" ContentType="application/vnd.ms-office.activeX+xml"/>
  <Override PartName="/xl/activeX/activeX518.bin" ContentType="application/vnd.ms-office.activeX"/>
  <Override PartName="/xl/activeX/activeX519.xml" ContentType="application/vnd.ms-office.activeX+xml"/>
  <Override PartName="/xl/activeX/activeX519.bin" ContentType="application/vnd.ms-office.activeX"/>
  <Override PartName="/xl/activeX/activeX520.xml" ContentType="application/vnd.ms-office.activeX+xml"/>
  <Override PartName="/xl/activeX/activeX520.bin" ContentType="application/vnd.ms-office.activeX"/>
  <Override PartName="/xl/activeX/activeX521.xml" ContentType="application/vnd.ms-office.activeX+xml"/>
  <Override PartName="/xl/activeX/activeX521.bin" ContentType="application/vnd.ms-office.activeX"/>
  <Override PartName="/xl/activeX/activeX522.xml" ContentType="application/vnd.ms-office.activeX+xml"/>
  <Override PartName="/xl/activeX/activeX522.bin" ContentType="application/vnd.ms-office.activeX"/>
  <Override PartName="/xl/activeX/activeX523.xml" ContentType="application/vnd.ms-office.activeX+xml"/>
  <Override PartName="/xl/activeX/activeX523.bin" ContentType="application/vnd.ms-office.activeX"/>
  <Override PartName="/xl/activeX/activeX524.xml" ContentType="application/vnd.ms-office.activeX+xml"/>
  <Override PartName="/xl/activeX/activeX524.bin" ContentType="application/vnd.ms-office.activeX"/>
  <Override PartName="/xl/activeX/activeX525.xml" ContentType="application/vnd.ms-office.activeX+xml"/>
  <Override PartName="/xl/activeX/activeX525.bin" ContentType="application/vnd.ms-office.activeX"/>
  <Override PartName="/xl/activeX/activeX526.xml" ContentType="application/vnd.ms-office.activeX+xml"/>
  <Override PartName="/xl/activeX/activeX526.bin" ContentType="application/vnd.ms-office.activeX"/>
  <Override PartName="/xl/activeX/activeX527.xml" ContentType="application/vnd.ms-office.activeX+xml"/>
  <Override PartName="/xl/activeX/activeX527.bin" ContentType="application/vnd.ms-office.activeX"/>
  <Override PartName="/xl/activeX/activeX528.xml" ContentType="application/vnd.ms-office.activeX+xml"/>
  <Override PartName="/xl/activeX/activeX528.bin" ContentType="application/vnd.ms-office.activeX"/>
  <Override PartName="/xl/activeX/activeX529.xml" ContentType="application/vnd.ms-office.activeX+xml"/>
  <Override PartName="/xl/activeX/activeX529.bin" ContentType="application/vnd.ms-office.activeX"/>
  <Override PartName="/xl/activeX/activeX530.xml" ContentType="application/vnd.ms-office.activeX+xml"/>
  <Override PartName="/xl/activeX/activeX530.bin" ContentType="application/vnd.ms-office.activeX"/>
  <Override PartName="/xl/activeX/activeX531.xml" ContentType="application/vnd.ms-office.activeX+xml"/>
  <Override PartName="/xl/activeX/activeX531.bin" ContentType="application/vnd.ms-office.activeX"/>
  <Override PartName="/xl/activeX/activeX532.xml" ContentType="application/vnd.ms-office.activeX+xml"/>
  <Override PartName="/xl/activeX/activeX532.bin" ContentType="application/vnd.ms-office.activeX"/>
  <Override PartName="/xl/activeX/activeX533.xml" ContentType="application/vnd.ms-office.activeX+xml"/>
  <Override PartName="/xl/activeX/activeX533.bin" ContentType="application/vnd.ms-office.activeX"/>
  <Override PartName="/xl/activeX/activeX534.xml" ContentType="application/vnd.ms-office.activeX+xml"/>
  <Override PartName="/xl/activeX/activeX534.bin" ContentType="application/vnd.ms-office.activeX"/>
  <Override PartName="/xl/activeX/activeX535.xml" ContentType="application/vnd.ms-office.activeX+xml"/>
  <Override PartName="/xl/activeX/activeX535.bin" ContentType="application/vnd.ms-office.activeX"/>
  <Override PartName="/xl/activeX/activeX536.xml" ContentType="application/vnd.ms-office.activeX+xml"/>
  <Override PartName="/xl/activeX/activeX536.bin" ContentType="application/vnd.ms-office.activeX"/>
  <Override PartName="/xl/activeX/activeX537.xml" ContentType="application/vnd.ms-office.activeX+xml"/>
  <Override PartName="/xl/activeX/activeX537.bin" ContentType="application/vnd.ms-office.activeX"/>
  <Override PartName="/xl/activeX/activeX538.xml" ContentType="application/vnd.ms-office.activeX+xml"/>
  <Override PartName="/xl/activeX/activeX538.bin" ContentType="application/vnd.ms-office.activeX"/>
  <Override PartName="/xl/activeX/activeX539.xml" ContentType="application/vnd.ms-office.activeX+xml"/>
  <Override PartName="/xl/activeX/activeX539.bin" ContentType="application/vnd.ms-office.activeX"/>
  <Override PartName="/xl/activeX/activeX540.xml" ContentType="application/vnd.ms-office.activeX+xml"/>
  <Override PartName="/xl/activeX/activeX540.bin" ContentType="application/vnd.ms-office.activeX"/>
  <Override PartName="/xl/activeX/activeX541.xml" ContentType="application/vnd.ms-office.activeX+xml"/>
  <Override PartName="/xl/activeX/activeX541.bin" ContentType="application/vnd.ms-office.activeX"/>
  <Override PartName="/xl/activeX/activeX542.xml" ContentType="application/vnd.ms-office.activeX+xml"/>
  <Override PartName="/xl/activeX/activeX542.bin" ContentType="application/vnd.ms-office.activeX"/>
  <Override PartName="/xl/activeX/activeX543.xml" ContentType="application/vnd.ms-office.activeX+xml"/>
  <Override PartName="/xl/activeX/activeX543.bin" ContentType="application/vnd.ms-office.activeX"/>
  <Override PartName="/xl/activeX/activeX544.xml" ContentType="application/vnd.ms-office.activeX+xml"/>
  <Override PartName="/xl/activeX/activeX544.bin" ContentType="application/vnd.ms-office.activeX"/>
  <Override PartName="/xl/activeX/activeX545.xml" ContentType="application/vnd.ms-office.activeX+xml"/>
  <Override PartName="/xl/activeX/activeX545.bin" ContentType="application/vnd.ms-office.activeX"/>
  <Override PartName="/xl/activeX/activeX546.xml" ContentType="application/vnd.ms-office.activeX+xml"/>
  <Override PartName="/xl/activeX/activeX546.bin" ContentType="application/vnd.ms-office.activeX"/>
  <Override PartName="/xl/activeX/activeX547.xml" ContentType="application/vnd.ms-office.activeX+xml"/>
  <Override PartName="/xl/activeX/activeX547.bin" ContentType="application/vnd.ms-office.activeX"/>
  <Override PartName="/xl/activeX/activeX548.xml" ContentType="application/vnd.ms-office.activeX+xml"/>
  <Override PartName="/xl/activeX/activeX548.bin" ContentType="application/vnd.ms-office.activeX"/>
  <Override PartName="/xl/activeX/activeX549.xml" ContentType="application/vnd.ms-office.activeX+xml"/>
  <Override PartName="/xl/activeX/activeX549.bin" ContentType="application/vnd.ms-office.activeX"/>
  <Override PartName="/xl/activeX/activeX550.xml" ContentType="application/vnd.ms-office.activeX+xml"/>
  <Override PartName="/xl/activeX/activeX550.bin" ContentType="application/vnd.ms-office.activeX"/>
  <Override PartName="/xl/activeX/activeX551.xml" ContentType="application/vnd.ms-office.activeX+xml"/>
  <Override PartName="/xl/activeX/activeX551.bin" ContentType="application/vnd.ms-office.activeX"/>
  <Override PartName="/xl/activeX/activeX552.xml" ContentType="application/vnd.ms-office.activeX+xml"/>
  <Override PartName="/xl/activeX/activeX552.bin" ContentType="application/vnd.ms-office.activeX"/>
  <Override PartName="/xl/activeX/activeX553.xml" ContentType="application/vnd.ms-office.activeX+xml"/>
  <Override PartName="/xl/activeX/activeX553.bin" ContentType="application/vnd.ms-office.activeX"/>
  <Override PartName="/xl/activeX/activeX554.xml" ContentType="application/vnd.ms-office.activeX+xml"/>
  <Override PartName="/xl/activeX/activeX554.bin" ContentType="application/vnd.ms-office.activeX"/>
  <Override PartName="/xl/activeX/activeX555.xml" ContentType="application/vnd.ms-office.activeX+xml"/>
  <Override PartName="/xl/activeX/activeX555.bin" ContentType="application/vnd.ms-office.activeX"/>
  <Override PartName="/xl/activeX/activeX556.xml" ContentType="application/vnd.ms-office.activeX+xml"/>
  <Override PartName="/xl/activeX/activeX556.bin" ContentType="application/vnd.ms-office.activeX"/>
  <Override PartName="/xl/activeX/activeX557.xml" ContentType="application/vnd.ms-office.activeX+xml"/>
  <Override PartName="/xl/activeX/activeX557.bin" ContentType="application/vnd.ms-office.activeX"/>
  <Override PartName="/xl/activeX/activeX558.xml" ContentType="application/vnd.ms-office.activeX+xml"/>
  <Override PartName="/xl/activeX/activeX558.bin" ContentType="application/vnd.ms-office.activeX"/>
  <Override PartName="/xl/activeX/activeX559.xml" ContentType="application/vnd.ms-office.activeX+xml"/>
  <Override PartName="/xl/activeX/activeX559.bin" ContentType="application/vnd.ms-office.activeX"/>
  <Override PartName="/xl/activeX/activeX560.xml" ContentType="application/vnd.ms-office.activeX+xml"/>
  <Override PartName="/xl/activeX/activeX560.bin" ContentType="application/vnd.ms-office.activeX"/>
  <Override PartName="/xl/activeX/activeX561.xml" ContentType="application/vnd.ms-office.activeX+xml"/>
  <Override PartName="/xl/activeX/activeX561.bin" ContentType="application/vnd.ms-office.activeX"/>
  <Override PartName="/xl/activeX/activeX562.xml" ContentType="application/vnd.ms-office.activeX+xml"/>
  <Override PartName="/xl/activeX/activeX562.bin" ContentType="application/vnd.ms-office.activeX"/>
  <Override PartName="/xl/activeX/activeX563.xml" ContentType="application/vnd.ms-office.activeX+xml"/>
  <Override PartName="/xl/activeX/activeX563.bin" ContentType="application/vnd.ms-office.activeX"/>
  <Override PartName="/xl/activeX/activeX564.xml" ContentType="application/vnd.ms-office.activeX+xml"/>
  <Override PartName="/xl/activeX/activeX564.bin" ContentType="application/vnd.ms-office.activeX"/>
  <Override PartName="/xl/activeX/activeX565.xml" ContentType="application/vnd.ms-office.activeX+xml"/>
  <Override PartName="/xl/activeX/activeX565.bin" ContentType="application/vnd.ms-office.activeX"/>
  <Override PartName="/xl/activeX/activeX566.xml" ContentType="application/vnd.ms-office.activeX+xml"/>
  <Override PartName="/xl/activeX/activeX566.bin" ContentType="application/vnd.ms-office.activeX"/>
  <Override PartName="/xl/activeX/activeX567.xml" ContentType="application/vnd.ms-office.activeX+xml"/>
  <Override PartName="/xl/activeX/activeX567.bin" ContentType="application/vnd.ms-office.activeX"/>
  <Override PartName="/xl/activeX/activeX568.xml" ContentType="application/vnd.ms-office.activeX+xml"/>
  <Override PartName="/xl/activeX/activeX568.bin" ContentType="application/vnd.ms-office.activeX"/>
  <Override PartName="/xl/activeX/activeX569.xml" ContentType="application/vnd.ms-office.activeX+xml"/>
  <Override PartName="/xl/activeX/activeX569.bin" ContentType="application/vnd.ms-office.activeX"/>
  <Override PartName="/xl/activeX/activeX570.xml" ContentType="application/vnd.ms-office.activeX+xml"/>
  <Override PartName="/xl/activeX/activeX570.bin" ContentType="application/vnd.ms-office.activeX"/>
  <Override PartName="/xl/activeX/activeX571.xml" ContentType="application/vnd.ms-office.activeX+xml"/>
  <Override PartName="/xl/activeX/activeX571.bin" ContentType="application/vnd.ms-office.activeX"/>
  <Override PartName="/xl/activeX/activeX572.xml" ContentType="application/vnd.ms-office.activeX+xml"/>
  <Override PartName="/xl/activeX/activeX572.bin" ContentType="application/vnd.ms-office.activeX"/>
  <Override PartName="/xl/activeX/activeX573.xml" ContentType="application/vnd.ms-office.activeX+xml"/>
  <Override PartName="/xl/activeX/activeX573.bin" ContentType="application/vnd.ms-office.activeX"/>
  <Override PartName="/xl/activeX/activeX574.xml" ContentType="application/vnd.ms-office.activeX+xml"/>
  <Override PartName="/xl/activeX/activeX574.bin" ContentType="application/vnd.ms-office.activeX"/>
  <Override PartName="/xl/activeX/activeX575.xml" ContentType="application/vnd.ms-office.activeX+xml"/>
  <Override PartName="/xl/activeX/activeX575.bin" ContentType="application/vnd.ms-office.activeX"/>
  <Override PartName="/xl/activeX/activeX576.xml" ContentType="application/vnd.ms-office.activeX+xml"/>
  <Override PartName="/xl/activeX/activeX576.bin" ContentType="application/vnd.ms-office.activeX"/>
  <Override PartName="/xl/activeX/activeX577.xml" ContentType="application/vnd.ms-office.activeX+xml"/>
  <Override PartName="/xl/activeX/activeX577.bin" ContentType="application/vnd.ms-office.activeX"/>
  <Override PartName="/xl/activeX/activeX578.xml" ContentType="application/vnd.ms-office.activeX+xml"/>
  <Override PartName="/xl/activeX/activeX578.bin" ContentType="application/vnd.ms-office.activeX"/>
  <Override PartName="/xl/activeX/activeX579.xml" ContentType="application/vnd.ms-office.activeX+xml"/>
  <Override PartName="/xl/activeX/activeX579.bin" ContentType="application/vnd.ms-office.activeX"/>
  <Override PartName="/xl/activeX/activeX580.xml" ContentType="application/vnd.ms-office.activeX+xml"/>
  <Override PartName="/xl/activeX/activeX580.bin" ContentType="application/vnd.ms-office.activeX"/>
  <Override PartName="/xl/activeX/activeX581.xml" ContentType="application/vnd.ms-office.activeX+xml"/>
  <Override PartName="/xl/activeX/activeX581.bin" ContentType="application/vnd.ms-office.activeX"/>
  <Override PartName="/xl/activeX/activeX582.xml" ContentType="application/vnd.ms-office.activeX+xml"/>
  <Override PartName="/xl/activeX/activeX582.bin" ContentType="application/vnd.ms-office.activeX"/>
  <Override PartName="/xl/activeX/activeX583.xml" ContentType="application/vnd.ms-office.activeX+xml"/>
  <Override PartName="/xl/activeX/activeX583.bin" ContentType="application/vnd.ms-office.activeX"/>
  <Override PartName="/xl/activeX/activeX584.xml" ContentType="application/vnd.ms-office.activeX+xml"/>
  <Override PartName="/xl/activeX/activeX584.bin" ContentType="application/vnd.ms-office.activeX"/>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60" windowWidth="29040" windowHeight="15660" activeTab="2"/>
  </bookViews>
  <sheets>
    <sheet name="Version Control" sheetId="5" r:id="rId1"/>
    <sheet name="Information" sheetId="4" r:id="rId2"/>
    <sheet name="Cruise Solver Input Sheet" sheetId="1" r:id="rId3"/>
    <sheet name="Takeoff Solver Input Sheet" sheetId="2" r:id="rId4"/>
    <sheet name="Climb Solver Input Sheet" sheetId="3" r:id="rId5"/>
    <sheet name="Sheet1" sheetId="6" r:id="rId6"/>
    <sheet name="Sheet2" sheetId="7" r:id="rId7"/>
  </sheets>
  <definedNames>
    <definedName name="ErrorType" localSheetId="2">2</definedName>
    <definedName name="MatchData" localSheetId="4">{"0",#N/A,FALSE}</definedName>
    <definedName name="MatchData" localSheetId="2">{"0",#N/A,FALSE}</definedName>
    <definedName name="MatchData" localSheetId="3">{"0",#N/A,FALSE}</definedName>
    <definedName name="SearchDisplay" localSheetId="2">100</definedName>
    <definedName name="SearchVariables" localSheetId="2">1</definedName>
    <definedName name="SGBAnalysisBook" hidden="1">TRUE</definedName>
    <definedName name="SGBEnableRightClick">TRUE</definedName>
    <definedName name="SGBInputSheet" localSheetId="4">"Version 5.3"</definedName>
    <definedName name="SGBInputSheet" localSheetId="2">"Version 5.3"</definedName>
    <definedName name="SGBInputSheet" localSheetId="3">"Version 5.3"</definedName>
    <definedName name="SGBSolverBook">TRUE</definedName>
    <definedName name="SolutionType" localSheetId="2">3</definedName>
    <definedName name="VarData" localSheetId="4">{"0","24","0",FALSE,0;"0","25","0",FALSE,0;"0","22","0",FALSE,0;"0","18","0",FALSE,0;"Composites","0","0",FALSE,0}</definedName>
    <definedName name="VarData" localSheetId="2">{"","24","0",FALSE,0;"","25","0",FALSE,0;"","26","0",FALSE,0;"","18","0",FALSE,0;"Composites","0","0",FALSE,0}</definedName>
    <definedName name="VarData" localSheetId="3">{"0","24","0",FALSE,0;"0","25","0",FALSE,0;"0","22","0",FALSE,0;"0","18","0",FALSE,0;"Composites","0","0",FALSE,0}</definedName>
  </definedNames>
  <calcPr calcId="145621"/>
</workbook>
</file>

<file path=xl/calcChain.xml><?xml version="1.0" encoding="utf-8"?>
<calcChain xmlns="http://schemas.openxmlformats.org/spreadsheetml/2006/main">
  <c r="U1" i="1" l="1"/>
  <c r="T1" i="2"/>
  <c r="T1" i="3"/>
  <c r="U5" i="2"/>
  <c r="U6" i="2" s="1"/>
  <c r="U7" i="2" s="1"/>
  <c r="U8" i="2" s="1"/>
  <c r="U9" i="2" s="1"/>
  <c r="U10" i="2" s="1"/>
  <c r="U11" i="2" s="1"/>
  <c r="U12" i="2" s="1"/>
  <c r="U13" i="2" s="1"/>
  <c r="U14" i="2" s="1"/>
  <c r="U15" i="2" s="1"/>
  <c r="U16" i="2" s="1"/>
  <c r="U17" i="2" s="1"/>
  <c r="U18" i="2" s="1"/>
  <c r="U19" i="2" s="1"/>
  <c r="U20" i="2" s="1"/>
  <c r="U21" i="2" s="1"/>
  <c r="U22" i="2" s="1"/>
  <c r="U23" i="2" s="1"/>
  <c r="U24" i="2" s="1"/>
  <c r="U25" i="2" s="1"/>
  <c r="U26" i="2" s="1"/>
  <c r="U27" i="2" s="1"/>
  <c r="U28" i="2" s="1"/>
  <c r="U29" i="2" s="1"/>
  <c r="U30" i="2" s="1"/>
  <c r="U31" i="2" s="1"/>
  <c r="U32" i="2" s="1"/>
  <c r="U33" i="2" s="1"/>
  <c r="U34" i="2" s="1"/>
  <c r="U35" i="2" s="1"/>
  <c r="U36" i="2" s="1"/>
  <c r="U37" i="2" s="1"/>
  <c r="U38" i="2" s="1"/>
  <c r="U39" i="2" s="1"/>
  <c r="U40" i="2" s="1"/>
  <c r="U41" i="2" s="1"/>
  <c r="U42" i="2" s="1"/>
  <c r="U43" i="2" s="1"/>
  <c r="U44" i="2" s="1"/>
  <c r="U45" i="2" s="1"/>
  <c r="U46" i="2" s="1"/>
  <c r="U47" i="2" s="1"/>
  <c r="U48" i="2" s="1"/>
  <c r="U49" i="2" s="1"/>
  <c r="U50" i="2" s="1"/>
  <c r="U51" i="2" s="1"/>
  <c r="U52" i="2" s="1"/>
  <c r="U53" i="2" s="1"/>
  <c r="U54" i="2" s="1"/>
  <c r="U55" i="2" s="1"/>
  <c r="U56" i="2" s="1"/>
  <c r="U57" i="2" s="1"/>
  <c r="U58" i="2" s="1"/>
  <c r="U59" i="2" s="1"/>
  <c r="U60" i="2" s="1"/>
  <c r="U61" i="2" s="1"/>
  <c r="U62" i="2" s="1"/>
  <c r="U63" i="2" s="1"/>
  <c r="U64" i="2" s="1"/>
  <c r="U65" i="2" s="1"/>
  <c r="U66" i="2" s="1"/>
  <c r="U67" i="2" s="1"/>
  <c r="U68" i="2" s="1"/>
  <c r="U69" i="2" s="1"/>
  <c r="U70" i="2" s="1"/>
  <c r="U71" i="2" s="1"/>
  <c r="U72" i="2" s="1"/>
  <c r="U73" i="2" s="1"/>
  <c r="U74" i="2" s="1"/>
  <c r="U75" i="2" s="1"/>
  <c r="U76" i="2" s="1"/>
  <c r="U77" i="2" s="1"/>
  <c r="U78" i="2" s="1"/>
  <c r="U79" i="2" s="1"/>
  <c r="U80" i="2" s="1"/>
  <c r="U81" i="2" s="1"/>
  <c r="U82" i="2" s="1"/>
  <c r="U83" i="2" s="1"/>
  <c r="U84" i="2" s="1"/>
  <c r="U85" i="2" s="1"/>
  <c r="U86" i="2" s="1"/>
  <c r="U87" i="2" s="1"/>
  <c r="U88" i="2" s="1"/>
  <c r="U89" i="2" s="1"/>
  <c r="U90" i="2" s="1"/>
  <c r="U91" i="2" s="1"/>
  <c r="U92" i="2" s="1"/>
  <c r="U93" i="2" s="1"/>
  <c r="U6" i="3"/>
  <c r="U7" i="3" s="1"/>
  <c r="U8" i="3" s="1"/>
  <c r="U9" i="3" s="1"/>
  <c r="U10" i="3" s="1"/>
  <c r="U11" i="3" s="1"/>
  <c r="U12" i="3" s="1"/>
  <c r="U13" i="3" s="1"/>
  <c r="U14" i="3" s="1"/>
  <c r="U15" i="3" s="1"/>
  <c r="U16" i="3" s="1"/>
  <c r="U17" i="3" s="1"/>
  <c r="U18" i="3" s="1"/>
  <c r="U19" i="3" s="1"/>
  <c r="U20" i="3" s="1"/>
  <c r="U21" i="3" s="1"/>
  <c r="U22" i="3" s="1"/>
  <c r="U23" i="3" s="1"/>
  <c r="U24" i="3" s="1"/>
  <c r="U25" i="3" s="1"/>
  <c r="U26" i="3" s="1"/>
  <c r="U27" i="3" s="1"/>
  <c r="U28" i="3" s="1"/>
  <c r="U29" i="3" s="1"/>
  <c r="U30" i="3" s="1"/>
  <c r="U31" i="3" s="1"/>
  <c r="U32" i="3" s="1"/>
  <c r="U33" i="3" s="1"/>
  <c r="U34" i="3" s="1"/>
  <c r="U35" i="3" s="1"/>
  <c r="U36" i="3" s="1"/>
  <c r="U37" i="3" s="1"/>
  <c r="U38" i="3" s="1"/>
  <c r="U39" i="3" s="1"/>
  <c r="U40" i="3" s="1"/>
  <c r="U41" i="3" s="1"/>
  <c r="U42" i="3" s="1"/>
  <c r="U43" i="3" s="1"/>
  <c r="U44" i="3" s="1"/>
  <c r="U45" i="3" s="1"/>
  <c r="U46" i="3" s="1"/>
  <c r="U47" i="3" s="1"/>
  <c r="U48" i="3" s="1"/>
  <c r="U49" i="3" s="1"/>
  <c r="U50" i="3" s="1"/>
  <c r="U51" i="3" s="1"/>
  <c r="U52" i="3" s="1"/>
  <c r="U53" i="3" s="1"/>
  <c r="U54" i="3" s="1"/>
  <c r="U55" i="3" s="1"/>
  <c r="U56" i="3" s="1"/>
  <c r="U57" i="3" s="1"/>
  <c r="U58" i="3" s="1"/>
  <c r="U59" i="3" s="1"/>
  <c r="U60" i="3" s="1"/>
  <c r="U61" i="3" s="1"/>
  <c r="U62" i="3" s="1"/>
  <c r="U63" i="3" s="1"/>
  <c r="U64" i="3" s="1"/>
  <c r="U65" i="3" s="1"/>
  <c r="U66" i="3" s="1"/>
  <c r="U67" i="3" s="1"/>
  <c r="U68" i="3" s="1"/>
  <c r="U69" i="3" s="1"/>
  <c r="U70" i="3" s="1"/>
  <c r="U71" i="3" s="1"/>
  <c r="U72" i="3" s="1"/>
  <c r="U73" i="3" s="1"/>
  <c r="U74" i="3" s="1"/>
  <c r="U75" i="3" s="1"/>
  <c r="U76" i="3" s="1"/>
  <c r="U77" i="3" s="1"/>
  <c r="U78" i="3" s="1"/>
  <c r="U79" i="3" s="1"/>
  <c r="U80" i="3" s="1"/>
  <c r="U81" i="3" s="1"/>
  <c r="U82" i="3" s="1"/>
  <c r="U83" i="3" s="1"/>
  <c r="U84" i="3" s="1"/>
  <c r="U85" i="3" s="1"/>
  <c r="U86" i="3" s="1"/>
  <c r="U87" i="3" s="1"/>
  <c r="U88" i="3" s="1"/>
  <c r="U89" i="3" s="1"/>
  <c r="U90" i="3" s="1"/>
  <c r="U91" i="3" s="1"/>
  <c r="U92" i="3" s="1"/>
  <c r="U93" i="3" s="1"/>
  <c r="U5" i="3"/>
  <c r="V5" i="1"/>
  <c r="V6" i="1" s="1"/>
  <c r="V7" i="1" s="1"/>
  <c r="V8" i="1" s="1"/>
  <c r="V9" i="1" s="1"/>
  <c r="V10" i="1" s="1"/>
  <c r="V11" i="1" s="1"/>
  <c r="V12" i="1" s="1"/>
  <c r="V13" i="1" s="1"/>
  <c r="V14" i="1" s="1"/>
  <c r="V15" i="1" s="1"/>
  <c r="V16" i="1" s="1"/>
  <c r="V17" i="1" s="1"/>
  <c r="V18" i="1" s="1"/>
  <c r="V19" i="1" s="1"/>
  <c r="V20" i="1" s="1"/>
  <c r="V21" i="1" s="1"/>
  <c r="V22" i="1" s="1"/>
  <c r="V23" i="1" s="1"/>
  <c r="V24" i="1" s="1"/>
  <c r="V25" i="1" s="1"/>
  <c r="V26" i="1" s="1"/>
  <c r="V27" i="1" s="1"/>
  <c r="V28" i="1" s="1"/>
  <c r="V29" i="1" s="1"/>
  <c r="V30" i="1" s="1"/>
  <c r="V31" i="1" s="1"/>
  <c r="V32" i="1" s="1"/>
  <c r="V33" i="1" s="1"/>
  <c r="V34" i="1" s="1"/>
  <c r="V35" i="1" s="1"/>
  <c r="V36" i="1" s="1"/>
  <c r="V37" i="1" s="1"/>
  <c r="V38" i="1" s="1"/>
  <c r="V39" i="1" s="1"/>
  <c r="V40" i="1" s="1"/>
  <c r="V41" i="1" s="1"/>
  <c r="V42" i="1" s="1"/>
  <c r="V43" i="1" s="1"/>
  <c r="V44" i="1" s="1"/>
  <c r="V45" i="1" s="1"/>
  <c r="V46" i="1" s="1"/>
  <c r="V47" i="1" s="1"/>
  <c r="V48" i="1" s="1"/>
  <c r="V49" i="1" s="1"/>
  <c r="V50" i="1" s="1"/>
  <c r="V51" i="1" s="1"/>
  <c r="V52" i="1" s="1"/>
  <c r="V53" i="1" s="1"/>
  <c r="V54" i="1" s="1"/>
  <c r="V55" i="1" s="1"/>
  <c r="V56" i="1" s="1"/>
  <c r="V57" i="1" s="1"/>
  <c r="V58" i="1" s="1"/>
  <c r="V59" i="1" s="1"/>
  <c r="V60" i="1" s="1"/>
  <c r="V61" i="1" s="1"/>
  <c r="V62" i="1" s="1"/>
  <c r="V63" i="1" s="1"/>
  <c r="V64" i="1" s="1"/>
  <c r="V65" i="1" s="1"/>
  <c r="V66" i="1" s="1"/>
  <c r="V67" i="1" s="1"/>
  <c r="V68" i="1" s="1"/>
  <c r="V69" i="1" s="1"/>
  <c r="V70" i="1" s="1"/>
  <c r="V71" i="1" s="1"/>
  <c r="V72" i="1" s="1"/>
  <c r="V73" i="1" s="1"/>
  <c r="V74" i="1" s="1"/>
  <c r="V75" i="1" s="1"/>
  <c r="V76" i="1" s="1"/>
  <c r="V77" i="1" s="1"/>
  <c r="V78" i="1" s="1"/>
  <c r="V79" i="1" s="1"/>
  <c r="V80" i="1" s="1"/>
  <c r="V81" i="1" s="1"/>
  <c r="V82" i="1" s="1"/>
  <c r="V83" i="1" s="1"/>
  <c r="V84" i="1" s="1"/>
  <c r="V85" i="1" s="1"/>
  <c r="V86" i="1" s="1"/>
  <c r="V87" i="1" s="1"/>
  <c r="V88" i="1" s="1"/>
  <c r="V89" i="1" s="1"/>
  <c r="V90" i="1" s="1"/>
  <c r="V91" i="1" s="1"/>
  <c r="V92" i="1" s="1"/>
  <c r="V93" i="1" s="1"/>
  <c r="V94" i="1" s="1"/>
  <c r="V95" i="1" s="1"/>
  <c r="V96" i="1" s="1"/>
  <c r="V97" i="1" s="1"/>
  <c r="T1" i="6"/>
  <c r="U2" i="6"/>
  <c r="A6" i="6"/>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5" i="6"/>
  <c r="U1" i="6"/>
  <c r="F6" i="7" l="1"/>
  <c r="G6" i="7"/>
  <c r="H6" i="7"/>
  <c r="I6" i="7"/>
  <c r="J6" i="7"/>
  <c r="K6" i="7"/>
  <c r="L6" i="7"/>
  <c r="M6" i="7"/>
  <c r="N6" i="7"/>
  <c r="O6" i="7"/>
  <c r="P6" i="7"/>
  <c r="E6" i="7"/>
  <c r="AE6" i="7"/>
  <c r="AF6" i="7"/>
  <c r="AE5" i="7"/>
  <c r="AE4" i="7"/>
  <c r="AF5" i="7"/>
  <c r="AF4" i="7"/>
  <c r="R5" i="7"/>
  <c r="S5" i="7"/>
  <c r="T5" i="7"/>
  <c r="U5" i="7"/>
  <c r="V5" i="7"/>
  <c r="W5" i="7"/>
  <c r="X5" i="7"/>
  <c r="Y5" i="7"/>
  <c r="Z5" i="7"/>
  <c r="AA5" i="7"/>
  <c r="AB5" i="7"/>
  <c r="AC5" i="7"/>
  <c r="S4" i="7"/>
  <c r="T4" i="7"/>
  <c r="U4" i="7"/>
  <c r="V4" i="7"/>
  <c r="W4" i="7"/>
  <c r="X4" i="7"/>
  <c r="Y4" i="7"/>
  <c r="Z4" i="7"/>
  <c r="AA4" i="7"/>
  <c r="AB4" i="7"/>
  <c r="AC4" i="7"/>
  <c r="R4" i="7"/>
  <c r="S6" i="7"/>
  <c r="T6" i="7"/>
  <c r="U6" i="7"/>
  <c r="V6" i="7"/>
  <c r="W6" i="7"/>
  <c r="X6" i="7"/>
  <c r="Y6" i="7"/>
  <c r="Z6" i="7"/>
  <c r="AA6" i="7"/>
  <c r="AB6" i="7"/>
  <c r="AC6" i="7"/>
  <c r="R6" i="7"/>
  <c r="P15" i="4" l="1"/>
  <c r="P14" i="4"/>
  <c r="P16" i="4" s="1"/>
  <c r="R15" i="4"/>
  <c r="R14" i="4"/>
  <c r="S15" i="4"/>
  <c r="S14" i="4"/>
  <c r="S16" i="4" s="1"/>
  <c r="AB15" i="4"/>
  <c r="AB14" i="4"/>
  <c r="AD15" i="4"/>
  <c r="AD16" i="4" s="1"/>
  <c r="R16" i="4"/>
  <c r="AD14" i="4"/>
  <c r="AA14" i="4"/>
  <c r="AA16" i="4" s="1"/>
  <c r="Y14" i="4"/>
  <c r="Z14" i="4"/>
  <c r="AA15" i="4"/>
  <c r="Y15" i="4"/>
  <c r="Z15" i="4"/>
  <c r="Y16" i="4"/>
  <c r="P17" i="4"/>
  <c r="Q17" i="4"/>
  <c r="R17" i="4"/>
  <c r="S17" i="4"/>
  <c r="T17" i="4"/>
  <c r="U17" i="4"/>
  <c r="V17" i="4"/>
  <c r="W17" i="4"/>
  <c r="P18" i="4"/>
  <c r="Q18" i="4"/>
  <c r="R18" i="4"/>
  <c r="S18" i="4"/>
  <c r="T18" i="4"/>
  <c r="U18" i="4"/>
  <c r="V18" i="4"/>
  <c r="W18" i="4"/>
  <c r="O18" i="4"/>
  <c r="O17" i="4"/>
  <c r="R21" i="4"/>
  <c r="X16" i="4"/>
  <c r="U16" i="4"/>
  <c r="T16" i="4"/>
  <c r="Q16" i="4"/>
  <c r="AC15" i="4"/>
  <c r="X15" i="4"/>
  <c r="W15" i="4"/>
  <c r="V15" i="4"/>
  <c r="U15" i="4"/>
  <c r="T15" i="4"/>
  <c r="Q15" i="4"/>
  <c r="O15" i="4"/>
  <c r="AC14" i="4"/>
  <c r="AC16" i="4" s="1"/>
  <c r="X14" i="4"/>
  <c r="W14" i="4"/>
  <c r="W16" i="4" s="1"/>
  <c r="V14" i="4"/>
  <c r="V16" i="4" s="1"/>
  <c r="U14" i="4"/>
  <c r="T14" i="4"/>
  <c r="Q14" i="4"/>
  <c r="O14" i="4"/>
  <c r="O16" i="4" s="1"/>
  <c r="R20" i="4" l="1"/>
  <c r="AB16" i="4"/>
  <c r="Z16" i="4"/>
  <c r="R22" i="4"/>
  <c r="AE87" i="6"/>
  <c r="AF87" i="6"/>
  <c r="AG87" i="6"/>
  <c r="AH87" i="6"/>
  <c r="AI87" i="6"/>
  <c r="AJ87" i="6"/>
  <c r="AK87" i="6"/>
  <c r="AE86" i="6"/>
  <c r="AF86" i="6"/>
  <c r="AG86" i="6"/>
  <c r="AH86" i="6"/>
  <c r="AI86" i="6"/>
  <c r="AJ86" i="6"/>
  <c r="AE67" i="6"/>
  <c r="AF67" i="6"/>
  <c r="AG67" i="6"/>
  <c r="AH67" i="6"/>
  <c r="AI67" i="6"/>
  <c r="AJ67" i="6"/>
  <c r="AK67" i="6"/>
  <c r="AM67" i="6"/>
  <c r="AP67" i="6"/>
  <c r="AO67" i="6"/>
  <c r="AN67" i="6"/>
  <c r="G20" i="4" l="1"/>
  <c r="H20" i="4"/>
  <c r="G16" i="4"/>
  <c r="H16" i="4"/>
  <c r="G17" i="4"/>
  <c r="H17" i="4"/>
  <c r="G18" i="4"/>
  <c r="H18" i="4"/>
  <c r="G19" i="4"/>
  <c r="H19" i="4"/>
  <c r="G12" i="4"/>
  <c r="H12" i="4"/>
  <c r="G13" i="4"/>
  <c r="H13" i="4"/>
  <c r="G14" i="4"/>
  <c r="H14" i="4"/>
  <c r="G15" i="4"/>
  <c r="H15" i="4"/>
  <c r="G21" i="4"/>
  <c r="H21" i="4"/>
  <c r="H26" i="4"/>
  <c r="G26" i="4"/>
  <c r="I26" i="4" s="1"/>
  <c r="AL67" i="6"/>
  <c r="I12" i="4" l="1"/>
  <c r="I18" i="4"/>
  <c r="I13" i="4"/>
  <c r="I14" i="4"/>
  <c r="I21" i="4"/>
  <c r="I20" i="4"/>
  <c r="I17" i="4"/>
  <c r="I19" i="4"/>
  <c r="I16" i="4"/>
  <c r="I15" i="4"/>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4" i="1"/>
</calcChain>
</file>

<file path=xl/comments1.xml><?xml version="1.0" encoding="utf-8"?>
<comments xmlns="http://schemas.openxmlformats.org/spreadsheetml/2006/main">
  <authors>
    <author>Brown</author>
    <author>S G Brown</author>
    <author>Author</author>
  </authors>
  <commentList>
    <comment ref="B3" authorId="0">
      <text>
        <r>
          <rPr>
            <b/>
            <sz val="9"/>
            <color indexed="81"/>
            <rFont val="Tahoma"/>
            <family val="2"/>
          </rPr>
          <t xml:space="preserve">Provides a normalisation for the error calculation (the error function is calculated based on the value of the variable divided by this value as a normalisation).
See also comment in next cell.
</t>
        </r>
        <r>
          <rPr>
            <sz val="9"/>
            <color indexed="81"/>
            <rFont val="Tahoma"/>
            <family val="2"/>
          </rPr>
          <t xml:space="preserve">
</t>
        </r>
        <r>
          <rPr>
            <b/>
            <sz val="9"/>
            <color indexed="81"/>
            <rFont val="Tahoma"/>
            <family val="2"/>
          </rPr>
          <t xml:space="preserve">If the check box in the next column is not selected then:
-  this variable will not contribute to the error function
-  a value of zero disables this variable.
-  any non-zero value will enable the variable
If the check box in next column is selected then:
-  a value of zero disables the variable.
-  a contribution to the error function is given by the variable value / this normalisation value squared for least squares error type (selected from input form) or its absolute value if least absolutes error type.
</t>
        </r>
      </text>
    </comment>
    <comment ref="C3" authorId="0">
      <text>
        <r>
          <rPr>
            <b/>
            <sz val="10"/>
            <color indexed="81"/>
            <rFont val="Tahoma"/>
            <family val="2"/>
          </rPr>
          <t>Selects whether the variable contributes to the error function.
When a checkbox is selected then this variables will contribute to the error function being optimised, by a value related to the variable value / normalisation value, either the absolute value (if using sum of absolute errors) ar the square of this value (if using the sum of squares of errors).
Recommendation:
-  For the 'Search' solution type do not select these checkboxes.
-  For full solution types (Single point or multi-point) there are two recommended ways for processing
1) Whwn a limited number of variables are selected no more than the number of measssurements) then these should not be checked and the sum of squares of errors type used. This is effectively ANSYN.
2) When more variables are used and the fault finding sum of absolute errors is being used, then these checkboxes should be checked for all active variables. The setting of automated normalisation values, and the use of composite parameters may also be useful.This method will (generally) find a solution where the number of non-zero variables will equal the number of measurements, provided that the normalisation value of the measurements is small enough.</t>
        </r>
      </text>
    </comment>
    <comment ref="D3" authorId="1">
      <text>
        <r>
          <rPr>
            <b/>
            <sz val="10"/>
            <color indexed="81"/>
            <rFont val="Tahoma"/>
            <family val="2"/>
          </rPr>
          <t>This has no effect unless running the "search" solution type.
When running the search solution, selecting teh checkbox for any variable, will include that varriable in all solution trials. So if one variable is selected and a solution for 1 variable search is selected, then all variables will be tried in combination with this selected variable. Similar logic applies with more than one selected (all the selected variables will be included in all solution trials).</t>
        </r>
      </text>
    </comment>
    <comment ref="A79" authorId="2">
      <text>
        <r>
          <rPr>
            <b/>
            <sz val="9"/>
            <color indexed="81"/>
            <rFont val="Tahoma"/>
            <family val="2"/>
          </rPr>
          <t>Author:</t>
        </r>
        <r>
          <rPr>
            <sz val="9"/>
            <color indexed="81"/>
            <rFont val="Tahoma"/>
            <family val="2"/>
          </rPr>
          <t xml:space="preserve">
Represents +1% TPR measurement or trimming errror, i.e. actual TPR is lower than measured.
Exchange rates output has been multiplied by -1.</t>
        </r>
      </text>
    </comment>
    <comment ref="A80"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Note: this does not include the effect of IPC VIGV mal-schedule or effect on TPR, i.e. TPR assumed independently calculated and correct.</t>
        </r>
      </text>
    </comment>
    <comment ref="A81"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Exchange rate includes effect of T20 error on TPR.
Exchange rate given by T20 (no TPR) - 0.5 x TPR.
Note: this does not include the effect of IPC VIGV mal-schedule or effect.</t>
        </r>
      </text>
    </comment>
    <comment ref="A82" authorId="2">
      <text>
        <r>
          <rPr>
            <b/>
            <sz val="9"/>
            <color indexed="81"/>
            <rFont val="Tahoma"/>
            <family val="2"/>
          </rPr>
          <t>Author:</t>
        </r>
        <r>
          <rPr>
            <sz val="9"/>
            <color indexed="81"/>
            <rFont val="Tahoma"/>
            <family val="2"/>
          </rPr>
          <t xml:space="preserve">
Measurement error of +1% LPT entry temperature (TGT or T44).
Includes effect on TPR, i.e. TGT error causes TPR error.
Exchange rate given by TGT + 0.5 x TPR.</t>
        </r>
      </text>
    </comment>
    <comment ref="W82" authorId="2">
      <text>
        <r>
          <rPr>
            <b/>
            <sz val="9"/>
            <color indexed="81"/>
            <rFont val="Tahoma"/>
            <family val="2"/>
          </rPr>
          <t>Author:</t>
        </r>
        <r>
          <rPr>
            <sz val="9"/>
            <color indexed="81"/>
            <rFont val="Tahoma"/>
            <family val="2"/>
          </rPr>
          <t xml:space="preserve">
Represents +1% TPR measurement or trimming errror, i.e. actual TPR is lower than measured.
Exchange rates output has been multiplied by -1.</t>
        </r>
      </text>
    </comment>
    <comment ref="A83" authorId="2">
      <text>
        <r>
          <rPr>
            <b/>
            <sz val="9"/>
            <color indexed="81"/>
            <rFont val="Tahoma"/>
            <family val="2"/>
          </rPr>
          <t>Author:</t>
        </r>
        <r>
          <rPr>
            <sz val="9"/>
            <color indexed="81"/>
            <rFont val="Tahoma"/>
            <family val="2"/>
          </rPr>
          <t xml:space="preserve">
Measurement error of +1% HPC delivery pressure.
Note also influence on HPT RIT calculation and TPR.
Exchange rate given by P30 +TPR (and adjustment for RIT).</t>
        </r>
      </text>
    </comment>
    <comment ref="W83"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Note: this does not include the effect of IPC VIGV mal-schedule or effect on TPR, i.e. TPR assumed independently calculated and correct.</t>
        </r>
      </text>
    </comment>
    <comment ref="A84" authorId="2">
      <text>
        <r>
          <rPr>
            <b/>
            <sz val="9"/>
            <color indexed="81"/>
            <rFont val="Tahoma"/>
            <family val="2"/>
          </rPr>
          <t>Author:</t>
        </r>
        <r>
          <rPr>
            <sz val="9"/>
            <color indexed="81"/>
            <rFont val="Tahoma"/>
            <family val="2"/>
          </rPr>
          <t xml:space="preserve">
Effect if P1A measured 1% high, i.e. actual engine inlet total pressure is 1% lower than measured.
Exchange rates given by -TPR</t>
        </r>
      </text>
    </comment>
    <comment ref="W84"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Exchange rate includes effect of T20 error on TPR.
Exchange rate given by T20 (no TPR) - 0.5 x TPR.
Note: this does not include the effect of IPC VIGV mal-schedule or effect.</t>
        </r>
      </text>
    </comment>
    <comment ref="W85" authorId="2">
      <text>
        <r>
          <rPr>
            <b/>
            <sz val="9"/>
            <color indexed="81"/>
            <rFont val="Tahoma"/>
            <family val="2"/>
          </rPr>
          <t>Author:</t>
        </r>
        <r>
          <rPr>
            <sz val="9"/>
            <color indexed="81"/>
            <rFont val="Tahoma"/>
            <family val="2"/>
          </rPr>
          <t xml:space="preserve">
Measurement error of +1% LPT entry temperature (TGT or T44).
Includes effect on TPR, i.e. TGT error causes TPR error.
Exchange rate given by TGT + 0.5 x TPR.</t>
        </r>
      </text>
    </comment>
    <comment ref="W86" authorId="2">
      <text>
        <r>
          <rPr>
            <b/>
            <sz val="9"/>
            <color indexed="81"/>
            <rFont val="Tahoma"/>
            <family val="2"/>
          </rPr>
          <t>Author:</t>
        </r>
        <r>
          <rPr>
            <sz val="9"/>
            <color indexed="81"/>
            <rFont val="Tahoma"/>
            <family val="2"/>
          </rPr>
          <t xml:space="preserve">
Measurement error of +1% HPC delivery pressure.
Note also influence on HPT RIT calculation and TPR.
Exchange rate given by P30 +TPR (and adjustment for RIT).</t>
        </r>
      </text>
    </comment>
    <comment ref="W87" authorId="2">
      <text>
        <r>
          <rPr>
            <b/>
            <sz val="9"/>
            <color indexed="81"/>
            <rFont val="Tahoma"/>
            <family val="2"/>
          </rPr>
          <t>Author:</t>
        </r>
        <r>
          <rPr>
            <sz val="9"/>
            <color indexed="81"/>
            <rFont val="Tahoma"/>
            <family val="2"/>
          </rPr>
          <t xml:space="preserve">
Effect if P1A measured 1% high, i.e. actual engine inlet total pressure is 1% lower than measured.
Exchange rates given by -TPR</t>
        </r>
      </text>
    </comment>
    <comment ref="B99" authorId="0">
      <text>
        <r>
          <rPr>
            <b/>
            <sz val="9"/>
            <color indexed="81"/>
            <rFont val="Tahoma"/>
            <family val="2"/>
          </rPr>
          <t xml:space="preserve">This value is the corrected data matching value, or the signature that it is required to match.
</t>
        </r>
      </text>
    </comment>
    <comment ref="B100" authorId="0">
      <text>
        <r>
          <rPr>
            <b/>
            <sz val="9"/>
            <color indexed="81"/>
            <rFont val="Tahoma"/>
            <family val="2"/>
          </rPr>
          <t>This value is used to 'normalise' the matching value error for use in the error function.
The error function uses the error in the match at solutiion / Normalisation value - squared (when the error function type is the sum of squares of errors) or the absolute value of this (when the function type is set to the sum of absolute errors).
Value  of 0.001 appears to work well (but could use other values such as standard deviation for a parameter)
When set to 0 the matching parameter is switched off, i.e. does not contribute to the error function, and is therefore not part of the solution. The CORREL checkbox below should generally also be de-selected under these circumstances.
(Higher values make the parameter less significant, lower values increase sensitivity to that parameter.)</t>
        </r>
      </text>
    </comment>
    <comment ref="B101" authorId="0">
      <text>
        <r>
          <rPr>
            <b/>
            <sz val="9"/>
            <color indexed="81"/>
            <rFont val="Tahoma"/>
            <family val="2"/>
          </rPr>
          <t>These checkboxes determine whether the quality of the match to a given parameter contribute to the calculation of the CORREL function value.</t>
        </r>
      </text>
    </comment>
  </commentList>
</comments>
</file>

<file path=xl/comments2.xml><?xml version="1.0" encoding="utf-8"?>
<comments xmlns="http://schemas.openxmlformats.org/spreadsheetml/2006/main">
  <authors>
    <author>Brown</author>
    <author>S G Brown</author>
    <author>Author</author>
  </authors>
  <commentList>
    <comment ref="B3" authorId="0">
      <text>
        <r>
          <rPr>
            <b/>
            <sz val="9"/>
            <color indexed="81"/>
            <rFont val="Tahoma"/>
            <family val="2"/>
          </rPr>
          <t xml:space="preserve">Provides a normalisation for the error calculation (the error function is calculated based on the value of the variable divided by this value as a normalisation).
See also comment in next cell.
</t>
        </r>
        <r>
          <rPr>
            <sz val="9"/>
            <color indexed="81"/>
            <rFont val="Tahoma"/>
            <family val="2"/>
          </rPr>
          <t xml:space="preserve">
</t>
        </r>
        <r>
          <rPr>
            <b/>
            <sz val="9"/>
            <color indexed="81"/>
            <rFont val="Tahoma"/>
            <family val="2"/>
          </rPr>
          <t xml:space="preserve">If the check box in the next column is not selected then:
-  this variable will not contribute to the error function
-  a value of zero disables this variable.
-  any non-zero value will enable the variable
If the check box in next column is selected then:
-  a value of zero disables the variable.
-  a contribution to the error function is given by the variable value / this normalisation value squared for least squares error type (selected from input form) or its absolute value if least absolutes error type.
</t>
        </r>
      </text>
    </comment>
    <comment ref="C3" authorId="0">
      <text>
        <r>
          <rPr>
            <b/>
            <sz val="10"/>
            <color indexed="81"/>
            <rFont val="Tahoma"/>
            <family val="2"/>
          </rPr>
          <t>Selects whether the variable contributes to the error function.
When a checkbox is selected then this variables will contribute to the error function being optimised, by a value related to the variable value / normalisation value, either the absolute value (if using sum of absolute errors) ar the square of this value (if using the sum of squares of errors).
Recommendation:
-  For the 'Search' solution type do not select these checkboxes.
-  For full solution types (Single point or multi-point) there are two recommended ways for processing
1) Whwn a limited number of variables are selected no more than the number of measssurements) then these should not be checked and the sum of squares of errors type used. This is effectively ANSYN.
2) When more variables are used and the fault finding sum of absolute errors is being used, then these checkboxes should be checked for all active variables. The setting of automated normalisation values, and the use of composite parameters may also be useful.This method will (generally) find a solution where the number of non-zero variables will equal the number of measurements, provided that the normalisation value of the measurements is small enough.</t>
        </r>
      </text>
    </comment>
    <comment ref="D3" authorId="1">
      <text>
        <r>
          <rPr>
            <b/>
            <sz val="10"/>
            <color indexed="81"/>
            <rFont val="Tahoma"/>
            <family val="2"/>
          </rPr>
          <t>This has no effect unless running the "search" solution type.
When running the search solution, selecting teh checkbox for any variable, will include that varriable in all solution trials. So if one variable is selected and a solution for 1 variable search is selected, then all variables will be tried in combination with this selected variable. Similar logic applies with more than one selected (all the selected variables will be included in all solution trials).</t>
        </r>
      </text>
    </comment>
    <comment ref="A75" authorId="2">
      <text>
        <r>
          <rPr>
            <b/>
            <sz val="9"/>
            <color indexed="81"/>
            <rFont val="Tahoma"/>
            <family val="2"/>
          </rPr>
          <t>Author:</t>
        </r>
        <r>
          <rPr>
            <sz val="9"/>
            <color indexed="81"/>
            <rFont val="Tahoma"/>
            <family val="2"/>
          </rPr>
          <t xml:space="preserve">
Represents +1% TPR measurement or trimming errror, i.e. actual TPR is lower than measured.
Exchange rates output has been multiplied by -1.</t>
        </r>
      </text>
    </comment>
    <comment ref="A76"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Note: this does not include the effect of IPC VIGV mal-schedule or effect on TPR, i.e. TPR assumed independently calculated and correct.</t>
        </r>
      </text>
    </comment>
    <comment ref="A77"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Exchange rate includes effect of T20 error on TPR.
Exchange rate given by T20 (no TPR) - 0.5 x TPR.
Note: this does not include the effect of IPC VIGV mal-schedule or effect.</t>
        </r>
      </text>
    </comment>
    <comment ref="A78" authorId="2">
      <text>
        <r>
          <rPr>
            <b/>
            <sz val="9"/>
            <color indexed="81"/>
            <rFont val="Tahoma"/>
            <family val="2"/>
          </rPr>
          <t>Author:</t>
        </r>
        <r>
          <rPr>
            <sz val="9"/>
            <color indexed="81"/>
            <rFont val="Tahoma"/>
            <family val="2"/>
          </rPr>
          <t xml:space="preserve">
Measurement error of +1% LPT entry temperature (TGT or T44).
Includes effect on TPR, i.e. TGT error causes TPR error.
Exchange rate given by TGT + 0.5 x TPR.</t>
        </r>
      </text>
    </comment>
    <comment ref="A79" authorId="2">
      <text>
        <r>
          <rPr>
            <b/>
            <sz val="9"/>
            <color indexed="81"/>
            <rFont val="Tahoma"/>
            <family val="2"/>
          </rPr>
          <t>Author:</t>
        </r>
        <r>
          <rPr>
            <sz val="9"/>
            <color indexed="81"/>
            <rFont val="Tahoma"/>
            <family val="2"/>
          </rPr>
          <t xml:space="preserve">
Measurement error of +1% HPC delivery pressure.
Note also influence on HPT RIT calculation and TPR.
Exchange rate given by P30 +TPR (and adjustment for RIT).</t>
        </r>
      </text>
    </comment>
    <comment ref="A80" authorId="2">
      <text>
        <r>
          <rPr>
            <b/>
            <sz val="9"/>
            <color indexed="81"/>
            <rFont val="Tahoma"/>
            <family val="2"/>
          </rPr>
          <t>Author:</t>
        </r>
        <r>
          <rPr>
            <sz val="9"/>
            <color indexed="81"/>
            <rFont val="Tahoma"/>
            <family val="2"/>
          </rPr>
          <t xml:space="preserve">
Effect if P1A measured 1% high, i.e. actual engine inlet total pressure is 1% lower than measured.
Exchange rates given by -TPR</t>
        </r>
      </text>
    </comment>
    <comment ref="V82" authorId="2">
      <text>
        <r>
          <rPr>
            <b/>
            <sz val="9"/>
            <color indexed="81"/>
            <rFont val="Tahoma"/>
            <family val="2"/>
          </rPr>
          <t>Author:</t>
        </r>
        <r>
          <rPr>
            <sz val="9"/>
            <color indexed="81"/>
            <rFont val="Tahoma"/>
            <family val="2"/>
          </rPr>
          <t xml:space="preserve">
Represents +1% TPR measurement or trimming errror, i.e. actual TPR is lower than measured.
Exchange rates output has been multiplied by -1.</t>
        </r>
      </text>
    </comment>
    <comment ref="V83"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Note: this does not include the effect of IPC VIGV mal-schedule or effect on TPR, i.e. TPR assumed independently calculated and correct.</t>
        </r>
      </text>
    </comment>
    <comment ref="V84"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Exchange rate includes effect of T20 error on TPR.
Exchange rate given by T20 (no TPR) - 0.5 x TPR.
Note: this does not include the effect of IPC VIGV mal-schedule or effect.</t>
        </r>
      </text>
    </comment>
    <comment ref="V85" authorId="2">
      <text>
        <r>
          <rPr>
            <b/>
            <sz val="9"/>
            <color indexed="81"/>
            <rFont val="Tahoma"/>
            <family val="2"/>
          </rPr>
          <t>Author:</t>
        </r>
        <r>
          <rPr>
            <sz val="9"/>
            <color indexed="81"/>
            <rFont val="Tahoma"/>
            <family val="2"/>
          </rPr>
          <t xml:space="preserve">
Measurement error of +1% LPT entry temperature (TGT or T44).
Includes effect on TPR, i.e. TGT error causes TPR error.
Exchange rate given by TGT + 0.5 x TPR.</t>
        </r>
      </text>
    </comment>
    <comment ref="V86" authorId="2">
      <text>
        <r>
          <rPr>
            <b/>
            <sz val="9"/>
            <color indexed="81"/>
            <rFont val="Tahoma"/>
            <family val="2"/>
          </rPr>
          <t>Author:</t>
        </r>
        <r>
          <rPr>
            <sz val="9"/>
            <color indexed="81"/>
            <rFont val="Tahoma"/>
            <family val="2"/>
          </rPr>
          <t xml:space="preserve">
Measurement error of +1% HPC delivery pressure.
Note also influence on HPT RIT calculation and TPR.
Exchange rate given by P30 +TPR (and adjustment for RIT).</t>
        </r>
      </text>
    </comment>
    <comment ref="V87" authorId="2">
      <text>
        <r>
          <rPr>
            <b/>
            <sz val="9"/>
            <color indexed="81"/>
            <rFont val="Tahoma"/>
            <family val="2"/>
          </rPr>
          <t>Author:</t>
        </r>
        <r>
          <rPr>
            <sz val="9"/>
            <color indexed="81"/>
            <rFont val="Tahoma"/>
            <family val="2"/>
          </rPr>
          <t xml:space="preserve">
Effect if P1A measured 1% high, i.e. actual engine inlet total pressure is 1% lower than measured.
Exchange rates given by -TPR</t>
        </r>
      </text>
    </comment>
    <comment ref="B95" authorId="0">
      <text>
        <r>
          <rPr>
            <b/>
            <sz val="9"/>
            <color indexed="81"/>
            <rFont val="Tahoma"/>
            <family val="2"/>
          </rPr>
          <t xml:space="preserve">This value is the corrected data matching value, or the signature that it is required to match.
</t>
        </r>
      </text>
    </comment>
    <comment ref="B96" authorId="0">
      <text>
        <r>
          <rPr>
            <b/>
            <sz val="9"/>
            <color indexed="81"/>
            <rFont val="Tahoma"/>
            <family val="2"/>
          </rPr>
          <t>This value is used to 'normalise' the matching value error for use in the error function.
The error function uses the error in the match at solutiion / Normalisation value - squared (when the error function type is the sum of squares of errors) or the absolute value of this (when the function type is set to the sum of absolute errors).
Value  of 0.001 appears to work well (but could use other values such as standard deviation for a parameter)
When set to 0 the matching parameter is switched off, i.e. does not contribute to the error function, and is therefore not part of the solution. The CORREL checkbox below should generally also be de-selected under these circumstances.
(Higher values make the parameter less significant, lower values increase sensitivity to that parameter.)</t>
        </r>
      </text>
    </comment>
    <comment ref="B97" authorId="0">
      <text>
        <r>
          <rPr>
            <b/>
            <sz val="9"/>
            <color indexed="81"/>
            <rFont val="Tahoma"/>
            <family val="2"/>
          </rPr>
          <t>These checkboxes determine whether the quality of the match to a given parameter contribute to the calculation of the CORREL function value.</t>
        </r>
      </text>
    </comment>
  </commentList>
</comments>
</file>

<file path=xl/comments3.xml><?xml version="1.0" encoding="utf-8"?>
<comments xmlns="http://schemas.openxmlformats.org/spreadsheetml/2006/main">
  <authors>
    <author>Brown</author>
    <author>S G Brown</author>
    <author>Author</author>
  </authors>
  <commentList>
    <comment ref="B3" authorId="0">
      <text>
        <r>
          <rPr>
            <b/>
            <sz val="9"/>
            <color indexed="81"/>
            <rFont val="Tahoma"/>
            <family val="2"/>
          </rPr>
          <t xml:space="preserve">Provides a normalisation for the error calculation (the error function is calculated based on the value of the variable divided by this value as a normalisation).
See also comment in next cell.
</t>
        </r>
        <r>
          <rPr>
            <sz val="9"/>
            <color indexed="81"/>
            <rFont val="Tahoma"/>
            <family val="2"/>
          </rPr>
          <t xml:space="preserve">
</t>
        </r>
        <r>
          <rPr>
            <b/>
            <sz val="9"/>
            <color indexed="81"/>
            <rFont val="Tahoma"/>
            <family val="2"/>
          </rPr>
          <t xml:space="preserve">If the check box in the next column is not selected then:
-  this variable will not contribute to the error function
-  a value of zero disables this variable.
-  any non-zero value will enable the variable
If the check box in next column is selected then:
-  a value of zero disables the variable.
-  a contribution to the error function is given by the variable value / this normalisation value squared for least squares error type (selected from input form) or its absolute value if least absolutes error type.
</t>
        </r>
      </text>
    </comment>
    <comment ref="C3" authorId="0">
      <text>
        <r>
          <rPr>
            <b/>
            <sz val="10"/>
            <color indexed="81"/>
            <rFont val="Tahoma"/>
            <family val="2"/>
          </rPr>
          <t>Selects whether the variable contributes to the error function.
When a checkbox is selected then this variables will contribute to the error function being optimised, by a value related to the variable value / normalisation value, either the absolute value (if using sum of absolute errors) ar the square of this value (if using the sum of squares of errors).
Recommendation:
-  For the 'Search' solution type do not select these checkboxes.
-  For full solution types (Single point or multi-point) there are two recommended ways for processing
1) Whwn a limited number of variables are selected no more than the number of measssurements) then these should not be checked and the sum of squares of errors type used. This is effectively ANSYN.
2) When more variables are used and the fault finding sum of absolute errors is being used, then these checkboxes should be checked for all active variables. The setting of automated normalisation values, and the use of composite parameters may also be useful.This method will (generally) find a solution where the number of non-zero variables will equal the number of measurements, provided that the normalisation value of the measurements is small enough.</t>
        </r>
      </text>
    </comment>
    <comment ref="D3" authorId="1">
      <text>
        <r>
          <rPr>
            <b/>
            <sz val="10"/>
            <color indexed="81"/>
            <rFont val="Tahoma"/>
            <family val="2"/>
          </rPr>
          <t>This has no effect unless running the "search" solution type.
When running the search solution, selecting teh checkbox for any variable, will include that varriable in all solution trials. So if one variable is selected and a solution for 1 variable search is selected, then all variables will be tried in combination with this selected variable. Similar logic applies with more than one selected (all the selected variables will be included in all solution trials).</t>
        </r>
      </text>
    </comment>
    <comment ref="A75" authorId="2">
      <text>
        <r>
          <rPr>
            <b/>
            <sz val="9"/>
            <color indexed="81"/>
            <rFont val="Tahoma"/>
            <family val="2"/>
          </rPr>
          <t>Author:</t>
        </r>
        <r>
          <rPr>
            <sz val="9"/>
            <color indexed="81"/>
            <rFont val="Tahoma"/>
            <family val="2"/>
          </rPr>
          <t xml:space="preserve">
Represents +1% TPR measurement or trimming errror, i.e. actual TPR is lower than measured.
Exchange rates output has been multiplied by -1.</t>
        </r>
      </text>
    </comment>
    <comment ref="A76"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Note: this does not include the effect of IPC VIGV mal-schedule or effect on TPR, i.e. TPR assumed independently calculated and correct.</t>
        </r>
      </text>
    </comment>
    <comment ref="A77"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Exchange rate includes effect of T20 error on TPR.
Exchange rate given by T20 (no TPR) - 0.5 x TPR.
Note: this does not include the effect of IPC VIGV mal-schedule or effect.</t>
        </r>
      </text>
    </comment>
    <comment ref="A78" authorId="2">
      <text>
        <r>
          <rPr>
            <b/>
            <sz val="9"/>
            <color indexed="81"/>
            <rFont val="Tahoma"/>
            <family val="2"/>
          </rPr>
          <t>Author:</t>
        </r>
        <r>
          <rPr>
            <sz val="9"/>
            <color indexed="81"/>
            <rFont val="Tahoma"/>
            <family val="2"/>
          </rPr>
          <t xml:space="preserve">
Measurement error of +1% LPT entry temperature (TGT or T44).
Includes effect on TPR, i.e. TGT error causes TPR error.
Exchange rate given by TGT + 0.5 x TPR.</t>
        </r>
      </text>
    </comment>
    <comment ref="A79" authorId="2">
      <text>
        <r>
          <rPr>
            <b/>
            <sz val="9"/>
            <color indexed="81"/>
            <rFont val="Tahoma"/>
            <family val="2"/>
          </rPr>
          <t>Author:</t>
        </r>
        <r>
          <rPr>
            <sz val="9"/>
            <color indexed="81"/>
            <rFont val="Tahoma"/>
            <family val="2"/>
          </rPr>
          <t xml:space="preserve">
Measurement error of +1% HPC delivery pressure.
Note also influence on HPT RIT calculation and TPR.
Exchange rate given by P30 +TPR (and adjustment for RIT).</t>
        </r>
      </text>
    </comment>
    <comment ref="A80" authorId="2">
      <text>
        <r>
          <rPr>
            <b/>
            <sz val="9"/>
            <color indexed="81"/>
            <rFont val="Tahoma"/>
            <family val="2"/>
          </rPr>
          <t>Author:</t>
        </r>
        <r>
          <rPr>
            <sz val="9"/>
            <color indexed="81"/>
            <rFont val="Tahoma"/>
            <family val="2"/>
          </rPr>
          <t xml:space="preserve">
Effect if P1A measured 1% high, i.e. actual engine inlet total pressure is 1% lower than measured.
Exchange rates given by -TPR</t>
        </r>
      </text>
    </comment>
    <comment ref="V82" authorId="2">
      <text>
        <r>
          <rPr>
            <b/>
            <sz val="9"/>
            <color indexed="81"/>
            <rFont val="Tahoma"/>
            <family val="2"/>
          </rPr>
          <t>Author:</t>
        </r>
        <r>
          <rPr>
            <sz val="9"/>
            <color indexed="81"/>
            <rFont val="Tahoma"/>
            <family val="2"/>
          </rPr>
          <t xml:space="preserve">
Represents +1% TPR measurement or trimming errror, i.e. actual TPR is lower than measured.
Exchange rates output has been multiplied by -1.</t>
        </r>
      </text>
    </comment>
    <comment ref="V83"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Note: this does not include the effect of IPC VIGV mal-schedule or effect on TPR, i.e. TPR assumed independently calculated and correct.</t>
        </r>
      </text>
    </comment>
    <comment ref="V84"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Exchange rate includes effect of T20 error on TPR.
Exchange rate given by T20 (no TPR) - 0.5 x TPR.
Note: this does not include the effect of IPC VIGV mal-schedule or effect.</t>
        </r>
      </text>
    </comment>
    <comment ref="V85" authorId="2">
      <text>
        <r>
          <rPr>
            <b/>
            <sz val="9"/>
            <color indexed="81"/>
            <rFont val="Tahoma"/>
            <family val="2"/>
          </rPr>
          <t>Author:</t>
        </r>
        <r>
          <rPr>
            <sz val="9"/>
            <color indexed="81"/>
            <rFont val="Tahoma"/>
            <family val="2"/>
          </rPr>
          <t xml:space="preserve">
Measurement error of +1% LPT entry temperature (TGT or T44).
Includes effect on TPR, i.e. TGT error causes TPR error.
Exchange rate given by TGT + 0.5 x TPR.</t>
        </r>
      </text>
    </comment>
    <comment ref="V86" authorId="2">
      <text>
        <r>
          <rPr>
            <b/>
            <sz val="9"/>
            <color indexed="81"/>
            <rFont val="Tahoma"/>
            <family val="2"/>
          </rPr>
          <t>Author:</t>
        </r>
        <r>
          <rPr>
            <sz val="9"/>
            <color indexed="81"/>
            <rFont val="Tahoma"/>
            <family val="2"/>
          </rPr>
          <t xml:space="preserve">
Measurement error of +1% HPC delivery pressure.
Note also influence on HPT RIT calculation and TPR.
Exchange rate given by P30 +TPR (and adjustment for RIT).</t>
        </r>
      </text>
    </comment>
    <comment ref="V87" authorId="2">
      <text>
        <r>
          <rPr>
            <b/>
            <sz val="9"/>
            <color indexed="81"/>
            <rFont val="Tahoma"/>
            <family val="2"/>
          </rPr>
          <t>Author:</t>
        </r>
        <r>
          <rPr>
            <sz val="9"/>
            <color indexed="81"/>
            <rFont val="Tahoma"/>
            <family val="2"/>
          </rPr>
          <t xml:space="preserve">
Effect if P1A measured 1% high, i.e. actual engine inlet total pressure is 1% lower than measured.
Exchange rates given by -TPR</t>
        </r>
      </text>
    </comment>
    <comment ref="B95" authorId="0">
      <text>
        <r>
          <rPr>
            <b/>
            <sz val="9"/>
            <color indexed="81"/>
            <rFont val="Tahoma"/>
            <family val="2"/>
          </rPr>
          <t xml:space="preserve">This value is the corrected data matching value, or the signature that it is required to match.
</t>
        </r>
      </text>
    </comment>
    <comment ref="B96" authorId="0">
      <text>
        <r>
          <rPr>
            <b/>
            <sz val="9"/>
            <color indexed="81"/>
            <rFont val="Tahoma"/>
            <family val="2"/>
          </rPr>
          <t>This value is used to 'normalise' the matching value error for use in the error function.
The error function uses the error in the match at solutiion / Normalisation value - squared (when the error function type is the sum of squares of errors) or the absolute value of this (when the function type is set to the sum of absolute errors).
Value  of 0.001 appears to work well (but could use other values such as standard deviation for a parameter)
When set to 0 the matching parameter is switched off, i.e. does not contribute to the error function, and is therefore not part of the solution. The CORREL checkbox below should generally also be de-selected under these circumstances.
(Higher values make the parameter less significant, lower values increase sensitivity to that parameter.)</t>
        </r>
      </text>
    </comment>
    <comment ref="B97" authorId="0">
      <text>
        <r>
          <rPr>
            <b/>
            <sz val="9"/>
            <color indexed="81"/>
            <rFont val="Tahoma"/>
            <family val="2"/>
          </rPr>
          <t>These checkboxes determine whether the quality of the match to a given parameter contribute to the calculation of the CORREL function value.</t>
        </r>
      </text>
    </comment>
  </commentList>
</comments>
</file>

<file path=xl/comments4.xml><?xml version="1.0" encoding="utf-8"?>
<comments xmlns="http://schemas.openxmlformats.org/spreadsheetml/2006/main">
  <authors>
    <author>Brown</author>
    <author>S G Brown</author>
    <author>Author</author>
  </authors>
  <commentList>
    <comment ref="C3" authorId="0">
      <text>
        <r>
          <rPr>
            <b/>
            <sz val="9"/>
            <color indexed="81"/>
            <rFont val="Tahoma"/>
            <family val="2"/>
          </rPr>
          <t xml:space="preserve">Provides a normalisation for the error calculation (the error function is calculated based on the value of the variable divided by this value as a normalisation).
See also comment in next cell.
</t>
        </r>
        <r>
          <rPr>
            <sz val="9"/>
            <color indexed="81"/>
            <rFont val="Tahoma"/>
            <family val="2"/>
          </rPr>
          <t xml:space="preserve">
</t>
        </r>
        <r>
          <rPr>
            <b/>
            <sz val="9"/>
            <color indexed="81"/>
            <rFont val="Tahoma"/>
            <family val="2"/>
          </rPr>
          <t xml:space="preserve">If the check box in the next column is not selected then:
-  this variable will not contribute to the error function
-  a value of zero disables this variable.
-  any non-zero value will enable the variable
If the check box in next column is selected then:
-  a value of zero disables the variable.
-  a contribution to the error function is given by the variable value / this normalisation value squared for least squares error type (selected from input form) or its absolute value if least absolutes error type.
</t>
        </r>
      </text>
    </comment>
    <comment ref="D3" authorId="0">
      <text>
        <r>
          <rPr>
            <b/>
            <sz val="10"/>
            <color indexed="81"/>
            <rFont val="Tahoma"/>
            <family val="2"/>
          </rPr>
          <t>Selects whether the variable contributes to the error function.
When a checkbox is selected then this variables will contribute to the error function being optimised, by a value related to the variable value / normalisation value, either the absolute value (if using sum of absolute errors) ar the square of this value (if using the sum of squares of errors).
Recommendation:
-  For the 'Search' solution type do not select these checkboxes.
-  For full solution types (Single point or multi-point) there are two recommended ways for processing
1) Whwn a limited number of variables are selected no more than the number of measssurements) then these should not be checked and the sum of squares of errors type used. This is effectively ANSYN.
2) When more variables are used and the fault finding sum of absolute errors is being used, then these checkboxes should be checked for all active variables. The setting of automated normalisation values, and the use of composite parameters may also be useful.This method will (generally) find a solution where the number of non-zero variables will equal the number of measurements, provided that the normalisation value of the measurements is small enough.</t>
        </r>
      </text>
    </comment>
    <comment ref="E3" authorId="1">
      <text>
        <r>
          <rPr>
            <b/>
            <sz val="10"/>
            <color indexed="81"/>
            <rFont val="Tahoma"/>
            <family val="2"/>
          </rPr>
          <t>This has no effect unless running the "search" solution type.
When running the search solution, selecting teh checkbox for any variable, will include that varriable in all solution trials. So if one variable is selected and a solution for 1 variable search is selected, then all variables will be tried in combination with this selected variable. Similar logic applies with more than one selected (all the selected variables will be included in all solution trials).</t>
        </r>
      </text>
    </comment>
    <comment ref="B82" authorId="2">
      <text>
        <r>
          <rPr>
            <b/>
            <sz val="9"/>
            <color indexed="81"/>
            <rFont val="Tahoma"/>
            <family val="2"/>
          </rPr>
          <t>Author:</t>
        </r>
        <r>
          <rPr>
            <sz val="9"/>
            <color indexed="81"/>
            <rFont val="Tahoma"/>
            <family val="2"/>
          </rPr>
          <t xml:space="preserve">
Represents +1% TPR measurement or trimming errror, i.e. actual TPR is lower than measured.
Exchange rates output has been multiplied by -1.</t>
        </r>
      </text>
    </comment>
    <comment ref="B83"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Note: this does not include the effect of IPC VIGV mal-schedule or effect on TPR, i.e. TPR assumed independently calculated and correct.</t>
        </r>
      </text>
    </comment>
    <comment ref="B84" authorId="2">
      <text>
        <r>
          <rPr>
            <b/>
            <sz val="9"/>
            <color indexed="81"/>
            <rFont val="Tahoma"/>
            <family val="2"/>
          </rPr>
          <t>Author:</t>
        </r>
        <r>
          <rPr>
            <sz val="9"/>
            <color indexed="81"/>
            <rFont val="Tahoma"/>
            <family val="2"/>
          </rPr>
          <t xml:space="preserve">
Effect of +1% T20 measurement error, i.e. actual temperature lower than measured. Exchange rates output has been multiplied by -1.
Exchange rate includes effect of T20 error on TPR.
Exchange rate given by T20 (no TPR) - 0.5 x TPR.
Note: this does not include the effect of IPC VIGV mal-schedule or effect.</t>
        </r>
      </text>
    </comment>
    <comment ref="B85" authorId="2">
      <text>
        <r>
          <rPr>
            <b/>
            <sz val="9"/>
            <color indexed="81"/>
            <rFont val="Tahoma"/>
            <family val="2"/>
          </rPr>
          <t>Author:</t>
        </r>
        <r>
          <rPr>
            <sz val="9"/>
            <color indexed="81"/>
            <rFont val="Tahoma"/>
            <family val="2"/>
          </rPr>
          <t xml:space="preserve">
Measurement error of +1% LPT entry temperature (TGT or T44).
Includes effect on TPR, i.e. TGT error causes TPR error.
Exchange rate given by TGT + 0.5 x TPR.</t>
        </r>
      </text>
    </comment>
    <comment ref="B86" authorId="2">
      <text>
        <r>
          <rPr>
            <b/>
            <sz val="9"/>
            <color indexed="81"/>
            <rFont val="Tahoma"/>
            <family val="2"/>
          </rPr>
          <t>Author:</t>
        </r>
        <r>
          <rPr>
            <sz val="9"/>
            <color indexed="81"/>
            <rFont val="Tahoma"/>
            <family val="2"/>
          </rPr>
          <t xml:space="preserve">
Measurement error of +1% HPC delivery pressure.
Note also influence on HPT RIT calculation and TPR.
Exchange rate given by P30 +TPR (and adjustment for RIT).</t>
        </r>
      </text>
    </comment>
    <comment ref="B87" authorId="2">
      <text>
        <r>
          <rPr>
            <b/>
            <sz val="9"/>
            <color indexed="81"/>
            <rFont val="Tahoma"/>
            <family val="2"/>
          </rPr>
          <t>Author:</t>
        </r>
        <r>
          <rPr>
            <sz val="9"/>
            <color indexed="81"/>
            <rFont val="Tahoma"/>
            <family val="2"/>
          </rPr>
          <t xml:space="preserve">
Effect if P1A measured 1% high, i.e. actual engine inlet total pressure is 1% lower than measured.
Exchange rates given by -TPR</t>
        </r>
      </text>
    </comment>
    <comment ref="C101" authorId="0">
      <text>
        <r>
          <rPr>
            <b/>
            <sz val="9"/>
            <color indexed="81"/>
            <rFont val="Tahoma"/>
            <family val="2"/>
          </rPr>
          <t xml:space="preserve">This value is the corrected data matching value, or the signature that it is required to match.
</t>
        </r>
      </text>
    </comment>
    <comment ref="C102" authorId="0">
      <text>
        <r>
          <rPr>
            <b/>
            <sz val="9"/>
            <color indexed="81"/>
            <rFont val="Tahoma"/>
            <family val="2"/>
          </rPr>
          <t>This value is used to 'normalise' the matching value error for use in the error function.
The error function uses the error in the match at solutiion / Normalisation value - squared (when the error function type is the sum of squares of errors) or the absolute value of this (when the function type is set to the sum of absolute errors).
Value  of 0.001 appears to work well (but could use other values such as standard deviation for a parameter)
When set to 0 the matching parameter is switched off, i.e. does not contribute to the error function, and is therefore not part of the solution. The CORREL checkbox below should generally also be de-selected under these circumstances.
(Higher values make the parameter less significant, lower values increase sensitivity to that parameter.)</t>
        </r>
      </text>
    </comment>
  </commentList>
</comments>
</file>

<file path=xl/comments5.xml><?xml version="1.0" encoding="utf-8"?>
<comments xmlns="http://schemas.openxmlformats.org/spreadsheetml/2006/main">
  <authors>
    <author>Brown</author>
    <author>S G Brown</author>
  </authors>
  <commentList>
    <comment ref="B3" authorId="0">
      <text>
        <r>
          <rPr>
            <b/>
            <sz val="9"/>
            <color indexed="81"/>
            <rFont val="Tahoma"/>
            <family val="2"/>
          </rPr>
          <t xml:space="preserve">Provides a normalisation for the error calculation (the error function is calculated based on the value of the variable divided by this value as a normalisation).
See also comment in next cell.
</t>
        </r>
        <r>
          <rPr>
            <sz val="9"/>
            <color indexed="81"/>
            <rFont val="Tahoma"/>
            <family val="2"/>
          </rPr>
          <t xml:space="preserve">
</t>
        </r>
        <r>
          <rPr>
            <b/>
            <sz val="9"/>
            <color indexed="81"/>
            <rFont val="Tahoma"/>
            <family val="2"/>
          </rPr>
          <t xml:space="preserve">If the check box in the next column is not selected then:
-  this variable will not contribute to the error function
-  a value of zero disables this variable.
-  any non-zero value will enable the variable
If the check box in next column is selected then:
-  a value of zero disables the variable.
-  a contribution to the error function is given by the variable value / this normalisation value squared for least squares error type (selected from input form) or its absolute value if least absolutes error type.
</t>
        </r>
      </text>
    </comment>
    <comment ref="C3" authorId="0">
      <text>
        <r>
          <rPr>
            <b/>
            <sz val="10"/>
            <color indexed="81"/>
            <rFont val="Tahoma"/>
            <family val="2"/>
          </rPr>
          <t>Selects whether the variable contributes to the error function.
When a checkbox is selected then this variables will contribute to the error function being optimised, by a value related to the variable value / normalisation value, either the absolute value (if using sum of absolute errors) ar the square of this value (if using the sum of squares of errors).
Recommendation:
-  For the 'Search' solution type do not select these checkboxes.
-  For full solution types (Single point or multi-point) there are two recommended ways for processing
1) Whwn a limited number of variables are selected no more than the number of measssurements) then these should not be checked and the sum of squares of errors type used. This is effectively ANSYN.
2) When more variables are used and the fault finding sum of absolute errors is being used, then these checkboxes should be checked for all active variables. The setting of automated normalisation values, and the use of composite parameters may also be useful.This method will (generally) find a solution where the number of non-zero variables will equal the number of measurements, provided that the normalisation value of the measurements is small enough.</t>
        </r>
      </text>
    </comment>
    <comment ref="D3" authorId="1">
      <text>
        <r>
          <rPr>
            <b/>
            <sz val="10"/>
            <color indexed="81"/>
            <rFont val="Tahoma"/>
            <family val="2"/>
          </rPr>
          <t>This has no effect unless running the "search" solution type.
When running the search solution, selecting teh checkbox for any variable, will include that varriable in all solution trials. So if one variable is selected and a solution for 1 variable search is selected, then all variables will be tried in combination with this selected variable. Similar logic applies with more than one selected (all the selected variables will be included in all solution trials).</t>
        </r>
      </text>
    </comment>
  </commentList>
</comments>
</file>

<file path=xl/sharedStrings.xml><?xml version="1.0" encoding="utf-8"?>
<sst xmlns="http://schemas.openxmlformats.org/spreadsheetml/2006/main" count="1142" uniqueCount="201">
  <si>
    <t>Trent 1000 Pack B Cruise Exchange Rates</t>
  </si>
  <si>
    <t>FAN ETA</t>
  </si>
  <si>
    <t>LPC ETA</t>
  </si>
  <si>
    <t>IPC ETA</t>
  </si>
  <si>
    <t>HPC ETA</t>
  </si>
  <si>
    <t>COMB ETA</t>
  </si>
  <si>
    <t>HPT ETA</t>
  </si>
  <si>
    <t>IPT ETA</t>
  </si>
  <si>
    <t>LPT ETA</t>
  </si>
  <si>
    <t>FAN FLOW</t>
  </si>
  <si>
    <t>LPC FLOW</t>
  </si>
  <si>
    <t>IPC FLOW</t>
  </si>
  <si>
    <t>HPC FLOW</t>
  </si>
  <si>
    <t>HPT CAPACITY</t>
  </si>
  <si>
    <t>IPT CAPACITY</t>
  </si>
  <si>
    <t>LPT CAPACITY</t>
  </si>
  <si>
    <t>DPD ESS</t>
  </si>
  <si>
    <t>DPP ESS</t>
  </si>
  <si>
    <t>DPD FAN OGV</t>
  </si>
  <si>
    <t>DPP FAN OGV</t>
  </si>
  <si>
    <t>DPD FAN CASE</t>
  </si>
  <si>
    <t>DPP BYPASS</t>
  </si>
  <si>
    <t>DPP COMB</t>
  </si>
  <si>
    <t>HOT NOZZLE AREA</t>
  </si>
  <si>
    <t>COLD NOZZLE AREA</t>
  </si>
  <si>
    <t>B140Q (Fan Precooler Bleed)</t>
  </si>
  <si>
    <t>IP POWER OFFTAKE (Hp)</t>
  </si>
  <si>
    <t>INTAKE PRESSURE RECOV.</t>
  </si>
  <si>
    <t>FACTOR ON FAN ROOT ENTHALPY</t>
  </si>
  <si>
    <t>FACTOR ON FAN TIP ENTHALPY</t>
  </si>
  <si>
    <t>FACTOR ON IPC ENTHALPY</t>
  </si>
  <si>
    <t>FACTOR ON HPC ENTHALPY</t>
  </si>
  <si>
    <t>ESSAI switched from off to on</t>
  </si>
  <si>
    <t>NAI increased from 0 to 1 lb/s</t>
  </si>
  <si>
    <t>IP8 HB switch</t>
  </si>
  <si>
    <t>HP HB switch</t>
  </si>
  <si>
    <t>Altitude</t>
  </si>
  <si>
    <t>SAS valve switch from OFF to ON</t>
  </si>
  <si>
    <t>plus 1 DEG VSV</t>
  </si>
  <si>
    <t>1% Throttle push</t>
  </si>
  <si>
    <t>Throttle push as a delta</t>
  </si>
  <si>
    <t>1% increase in T20 by changing DTAMB</t>
  </si>
  <si>
    <t>1% increase in P20 by simulating a MN error</t>
  </si>
  <si>
    <t>HPTCC switch: nominal to fully closed</t>
  </si>
  <si>
    <t>IPTCC switch: nominal to fully closed</t>
  </si>
  <si>
    <t>LPTCC switch: nominal to fully closed</t>
  </si>
  <si>
    <t>HP TCC flow</t>
  </si>
  <si>
    <t>IP TCC flow</t>
  </si>
  <si>
    <t>LP TCC flow</t>
  </si>
  <si>
    <t>WFE +1%</t>
  </si>
  <si>
    <t>PCNL +1%</t>
  </si>
  <si>
    <t>PCNI +1%</t>
  </si>
  <si>
    <t>PCNH +1%</t>
  </si>
  <si>
    <t>P26 +1%</t>
  </si>
  <si>
    <t>T26 +1%</t>
  </si>
  <si>
    <t>T30 +1%</t>
  </si>
  <si>
    <t>P130 +1%</t>
  </si>
  <si>
    <t>P50 +1%</t>
  </si>
  <si>
    <t>P42 +1%</t>
  </si>
  <si>
    <t>P44 +1%</t>
  </si>
  <si>
    <t>T50 +1%</t>
  </si>
  <si>
    <t>BI5205Q (IP5 to Upstream of Fan)</t>
  </si>
  <si>
    <t>BI5215Q (IP5 Bleed to ESS)</t>
  </si>
  <si>
    <t>BI8205Q (IP8 to Upstream of Fan)</t>
  </si>
  <si>
    <t>BI8215Q (IP8 Bleed to ESS)</t>
  </si>
  <si>
    <t>BI8435Q (IP8 Bleed to IPT Rear)</t>
  </si>
  <si>
    <t>BI844Q (IP8 Bleed to LP NGV Throat)</t>
  </si>
  <si>
    <t>BI8455Q (IP8 Bleed to LPT Rear)</t>
  </si>
  <si>
    <t>BI8OVBQ (IP8 Bleed to Overboard)</t>
  </si>
  <si>
    <t>BH326Q (HP3 Bleed to IPC Rear)</t>
  </si>
  <si>
    <t>BH3415Q (HP3 Bleed to HPT Rear)</t>
  </si>
  <si>
    <t>BH342Q (HP3 Bleed to IP NGV Throat)</t>
  </si>
  <si>
    <t>BH3435Q (HP3 Bleed to IPT Rear)</t>
  </si>
  <si>
    <t>BH344Q (HP3 Bleed to LP NGV Throat)</t>
  </si>
  <si>
    <t>BH3455Q (HP3 Bleed to LPT Rear)</t>
  </si>
  <si>
    <t>BH3OVBQ (HP3 Bleed to Overboard)</t>
  </si>
  <si>
    <t>BH6415 (HP6 Bleed to HPT Rear (not fraction) )</t>
  </si>
  <si>
    <t>BH642Q (HP6 Bleed to IP NGV Throat)</t>
  </si>
  <si>
    <t>BH6435Q (HP6 Bleed to IPT Rear)</t>
  </si>
  <si>
    <t>BH644Q (HP6 Bleed to LP NGV Throat)</t>
  </si>
  <si>
    <t>BH6455Q (HP6 Bleed to LPT Rear)</t>
  </si>
  <si>
    <t>BH6OVBQ (HP6 Bleed to Overboard)</t>
  </si>
  <si>
    <t>B3040Q (Combustor Entry to HPNGV Pre-Throat Flow (fraction) )</t>
  </si>
  <si>
    <t>B30405Q (Combustor Entry to HPNGV Post-Throat Flow (fraction) )</t>
  </si>
  <si>
    <t>B30415Q (Combustor Entry to HPT Rear)</t>
  </si>
  <si>
    <t>WFE</t>
  </si>
  <si>
    <t>NL</t>
  </si>
  <si>
    <t>NI</t>
  </si>
  <si>
    <t>NH</t>
  </si>
  <si>
    <t>TGT</t>
  </si>
  <si>
    <t>P135</t>
  </si>
  <si>
    <t>TPR (representing measurment error)</t>
  </si>
  <si>
    <t>1% T20 (no TPR)</t>
  </si>
  <si>
    <t>1% T20 (inc TPR)</t>
  </si>
  <si>
    <t>P30</t>
  </si>
  <si>
    <t xml:space="preserve">1% Engine P20 </t>
  </si>
  <si>
    <t>P26</t>
  </si>
  <si>
    <t>T26</t>
  </si>
  <si>
    <t>T30</t>
  </si>
  <si>
    <t>P42</t>
  </si>
  <si>
    <t>P44</t>
  </si>
  <si>
    <t>P50</t>
  </si>
  <si>
    <t>T50</t>
  </si>
  <si>
    <t>Norm</t>
  </si>
  <si>
    <t>In Error Fn</t>
  </si>
  <si>
    <t>Pre-select
in Search</t>
  </si>
  <si>
    <t>Variables</t>
  </si>
  <si>
    <t>Matching Values</t>
  </si>
  <si>
    <t>Normalisation</t>
  </si>
  <si>
    <t>Include in CORREL</t>
  </si>
  <si>
    <t>DELTA CV ON COLD NOZ.</t>
  </si>
  <si>
    <t>DELTA CV ON HOT NOZ.</t>
  </si>
  <si>
    <t>Trent 1000 Pack B Takeoff Exchange Rates</t>
  </si>
  <si>
    <t>P042</t>
  </si>
  <si>
    <t>P044</t>
  </si>
  <si>
    <t>Trent 1000 Pack B Climb Exchange Rates</t>
  </si>
  <si>
    <t>Version</t>
  </si>
  <si>
    <t>Description</t>
  </si>
  <si>
    <t>Date</t>
  </si>
  <si>
    <t>Author of the Revision</t>
  </si>
  <si>
    <t>Reference Report</t>
  </si>
  <si>
    <t>Initial</t>
  </si>
  <si>
    <t>James Sutherland</t>
  </si>
  <si>
    <t>EDNS01000784362</t>
  </si>
  <si>
    <t>Nominal Flight Conditions:</t>
  </si>
  <si>
    <t>Flight Condition</t>
  </si>
  <si>
    <t>Takeoff</t>
  </si>
  <si>
    <t>Climb</t>
  </si>
  <si>
    <t>Cruise</t>
  </si>
  <si>
    <t>Altitude (ft)</t>
  </si>
  <si>
    <t>Mach</t>
  </si>
  <si>
    <t>DTAMB (K)</t>
  </si>
  <si>
    <t>Power Offtake (hp)</t>
  </si>
  <si>
    <t>TPR</t>
  </si>
  <si>
    <t>TPR (representing measurment error) + 1%</t>
  </si>
  <si>
    <t>REPEAT</t>
  </si>
  <si>
    <t>P20</t>
  </si>
  <si>
    <t>T20</t>
  </si>
  <si>
    <t>Nominal</t>
  </si>
  <si>
    <t>Eng1</t>
  </si>
  <si>
    <t>Eng2</t>
  </si>
  <si>
    <t>% delta</t>
  </si>
  <si>
    <t>rel nom</t>
  </si>
  <si>
    <t>Absolute</t>
  </si>
  <si>
    <t>E2E</t>
  </si>
  <si>
    <t>DO NOT AFFECT FIT</t>
  </si>
  <si>
    <t>NEED BOTH?</t>
  </si>
  <si>
    <t>LOW WEIGHTING ON MEASURED PARAMETERS</t>
  </si>
  <si>
    <t>MAIN EFFECT IS NL, WHICH IS ALREADY COVERED</t>
  </si>
  <si>
    <t>LOWISH WEIGHTING ON MEASURED PARAMETERS AND SOUNDS RARE</t>
  </si>
  <si>
    <t>DPD LINEAR SCALE OF DPP</t>
  </si>
  <si>
    <t>MAIN EFFECT IS NI, WHICH IS ALREADY COVERED</t>
  </si>
  <si>
    <t>MAIN EFFECT IS NH, WHICH IS ALREADY COVERED</t>
  </si>
  <si>
    <t>LOW WEIGHTING ON MEASURED PARAMETERS, AND BETTER TO FILTER OUT PTS WITH ODD ALT</t>
  </si>
  <si>
    <t>INDISTINGUISHABLE FROM WFE MEAS ERR</t>
  </si>
  <si>
    <t>[0.9933]    'IPT ETA'    'LPT CAPACITY'</t>
  </si>
  <si>
    <t>[0.9980]    'HPT CAPACITY'    'BH3415Q (HP3 Blee…'</t>
  </si>
  <si>
    <t>'HPT CAPACITY'    'B30405Q (Combusto…'</t>
  </si>
  <si>
    <t>[0.9997]    'DPP ESS'    'BI5205Q (IP5 to U…'</t>
  </si>
  <si>
    <t>[0.9989]    'DPP ESS'    'BI5215Q (IP5 Blee…'</t>
  </si>
  <si>
    <t>[0.9999]    'DPP ESS'    'BI8205Q (IP8 to U…'</t>
  </si>
  <si>
    <t>[0.9981]    'DPP ESS'    'BI8215Q (IP8 Blee…'</t>
  </si>
  <si>
    <t>[0.9913]    'BI8435Q (IP8 Blee…'    'BI844Q (IP8 Bleed…'</t>
  </si>
  <si>
    <t>[0.9844]    'BI8435Q (IP8 Blee…'    'BI8OVBQ (IP8 Blee…'</t>
  </si>
  <si>
    <t>[0.9870]    'BI844Q (IP8 Bleed…'    'BI8455Q (IP8 Blee…'</t>
  </si>
  <si>
    <t>[0.9898]    'BI844Q (IP8 Bleed…'    'IP8 HB switch'</t>
  </si>
  <si>
    <t>[0.9821]    'BI8455Q (IP8 Blee…'    'IP POWER OFFTAKE …'</t>
  </si>
  <si>
    <t>[0.9886]    'BH3415Q (HP3 Blee…'    'BH6415 (HP6 Bleed…'</t>
  </si>
  <si>
    <t>[0.9802]    'BH342Q (HP3 Bleed…'    'BH344Q (HP3 Bleed…'</t>
  </si>
  <si>
    <t>[0.9861]    'BH344Q (HP3 Bleed…'    'BH3455Q (HP3 Blee…</t>
  </si>
  <si>
    <t>[0.9950]    'BH344Q (HP3 Bleed…'    'BH3OVBQ (HP3 Blee…'</t>
  </si>
  <si>
    <t>[0.9895]    'BH344Q (HP3 Bleed…'    'BH6435Q (HP6 Blee…'</t>
  </si>
  <si>
    <t>[0.9950]    'BH344Q (HP3 Bleed…'    'NAI increased fro…'</t>
  </si>
  <si>
    <t>[0.9872]    'BH344Q (HP3 Bleed…'    'HP HB switch'</t>
  </si>
  <si>
    <t>[0.9917]    'BH642Q (HP6 Bleed…'    'BH644Q (HP6 Bleed…'</t>
  </si>
  <si>
    <t>[0.9872]    'BH644Q (HP6 Bleed…'    'BH6455Q (HP6 Blee…'</t>
  </si>
  <si>
    <t>[0.9952]    'BH644Q (HP6 Bleed…'    'BH6OVBQ (HP6 Blee…'</t>
  </si>
  <si>
    <t>[-0.9998]    'B3040Q (Combustor…'    'WFE +1%'</t>
  </si>
  <si>
    <t>[-0.9831]    'FACTOR ON FAN ROO…'    'IP8 HB switch'</t>
  </si>
  <si>
    <t>[-0.9986]    'HPT ETA'    'HPTCC switch: nom…'</t>
  </si>
  <si>
    <t>[-0.9989]    'LPT ETA'    'LPTCC switch: nom…'</t>
  </si>
  <si>
    <t>[-0.9971]    'IPT ETA'    'IPTCC switch: nom…'</t>
  </si>
  <si>
    <t>Paramid</t>
  </si>
  <si>
    <t>PS26</t>
  </si>
  <si>
    <t>P160</t>
  </si>
  <si>
    <t>PS42</t>
  </si>
  <si>
    <t>PS44</t>
  </si>
  <si>
    <t>0.8% IPC eta drop</t>
  </si>
  <si>
    <t>0.8% HPC eta drop</t>
  </si>
  <si>
    <t>Size of 0.8% IPC eta performance change (RSS)</t>
  </si>
  <si>
    <t>Size of 0.8% HPC eta performance change (RSS)</t>
  </si>
  <si>
    <t>Size of possible performance "change" due to precision</t>
  </si>
  <si>
    <t>LP Tubine Entry Pressure (static)</t>
  </si>
  <si>
    <t>IP Tubine Entry Pressure (static)</t>
  </si>
  <si>
    <t>LPT Exit Pressure</t>
  </si>
  <si>
    <t>P50 was just 1dp initially!</t>
  </si>
  <si>
    <t>Additional shift (not IPC or HPC damage)</t>
  </si>
  <si>
    <t>ALMOST LINEAR SCALE ESS AI</t>
  </si>
  <si>
    <t>SCALE OF TPR</t>
  </si>
  <si>
    <t>LINEAR COMBINATION T20 (inc TPR) &amp; TPR</t>
  </si>
  <si>
    <t>NB NOT SCALE OF 1% P20</t>
  </si>
</sst>
</file>

<file path=xl/styles.xml><?xml version="1.0" encoding="utf-8"?>
<styleSheet xmlns="http://schemas.openxmlformats.org/spreadsheetml/2006/main" xmlns:mc="http://schemas.openxmlformats.org/markup-compatibility/2006" xmlns:x14ac="http://schemas.microsoft.com/office/spreadsheetml/2009/9/ac" mc:Ignorable="x14ac">
  <numFmts count="28">
    <numFmt numFmtId="41" formatCode="_-* #,##0_-;\-* #,##0_-;_-* &quot;-&quot;_-;_-@_-"/>
    <numFmt numFmtId="44" formatCode="_-&quot;£&quot;* #,##0.00_-;\-&quot;£&quot;* #,##0.00_-;_-&quot;£&quot;* &quot;-&quot;??_-;_-@_-"/>
    <numFmt numFmtId="43" formatCode="_-* #,##0.00_-;\-* #,##0.00_-;_-* &quot;-&quot;??_-;_-@_-"/>
    <numFmt numFmtId="164" formatCode="[$-409]d\-mmm\-yy;@"/>
    <numFmt numFmtId="165" formatCode="_(* #,##0.00_);_(* \(#,##0.00\);_(* &quot;-&quot;??_);_(@_)"/>
    <numFmt numFmtId="166" formatCode="#,##0\ &quot;$&quot;_);[Red]\(#,##0\ &quot;$&quot;\)"/>
    <numFmt numFmtId="167" formatCode="_(* #,##0_);_(* \(#,##0\);_(* &quot;-&quot;_);_(@_)"/>
    <numFmt numFmtId="168" formatCode="_-* #,##0.00\ [$€]_-;\-* #,##0.00\ [$€]_-;_-* &quot;-&quot;??\ [$€]_-;_-@_-"/>
    <numFmt numFmtId="169" formatCode="[Black]General;[Black]General;[Black]General;[Black]General"/>
    <numFmt numFmtId="170" formatCode="&quot;0&quot;0"/>
    <numFmt numFmtId="171" formatCode="&quot;0&quot;0;;;"/>
    <numFmt numFmtId="172" formatCode="#,##0_);[Red]\(#,##0\)"/>
    <numFmt numFmtId="173" formatCode="#,##0.0_);[Red]\(#,##0.0\)"/>
    <numFmt numFmtId="174" formatCode="#,##0.00_);[Red]\(#,##0.00\)"/>
    <numFmt numFmtId="175" formatCode="_(&quot;$&quot;* #,##0_);_(&quot;$&quot;* \(#,##0\);_(&quot;$&quot;* &quot;-&quot;_);_(@_)"/>
    <numFmt numFmtId="176" formatCode="_(&quot;$&quot;* #,##0.00_);_(&quot;$&quot;* \(#,##0.00\);_(&quot;$&quot;* &quot;-&quot;??_);_(@_)"/>
    <numFmt numFmtId="177" formatCode="_ * #,##0_ ;_ * \-#,##0_ ;_ * &quot;-&quot;_ ;_ @_ "/>
    <numFmt numFmtId="178" formatCode="_ * #,##0.00_ ;_ * \-#,##0.00_ ;_ * &quot;-&quot;??_ ;_ @_ "/>
    <numFmt numFmtId="179" formatCode="_ &quot;\&quot;* #,##0_ ;_ &quot;\&quot;* \-#,##0_ ;_ &quot;\&quot;* &quot;-&quot;_ ;_ @_ "/>
    <numFmt numFmtId="180" formatCode="_ &quot;\&quot;* #,##0.00_ ;_ &quot;\&quot;* \-#,##0.00_ ;_ &quot;\&quot;* &quot;-&quot;??_ ;_ @_ "/>
    <numFmt numFmtId="181" formatCode="_-&quot;$&quot;* #,##0_-;\-&quot;$&quot;* #,##0_-;_-&quot;$&quot;* &quot;-&quot;_-;_-@_-"/>
    <numFmt numFmtId="182" formatCode="_-&quot;$&quot;* #,##0.00_-;\-&quot;$&quot;* #,##0.00_-;_-&quot;$&quot;* &quot;-&quot;??_-;_-@_-"/>
    <numFmt numFmtId="183" formatCode="0.000%"/>
    <numFmt numFmtId="184" formatCode="0.###"/>
    <numFmt numFmtId="185" formatCode="0.####"/>
    <numFmt numFmtId="186" formatCode="0.0"/>
    <numFmt numFmtId="187" formatCode="0.000"/>
    <numFmt numFmtId="188" formatCode="0.0%"/>
  </numFmts>
  <fonts count="81">
    <font>
      <sz val="11"/>
      <color theme="1"/>
      <name val="Calibri"/>
      <family val="2"/>
      <scheme val="minor"/>
    </font>
    <font>
      <sz val="11"/>
      <color theme="1"/>
      <name val="Calibri"/>
      <family val="2"/>
      <scheme val="minor"/>
    </font>
    <font>
      <sz val="11"/>
      <color rgb="FF9C0006"/>
      <name val="Calibri"/>
      <family val="2"/>
      <scheme val="minor"/>
    </font>
    <font>
      <sz val="10"/>
      <color theme="1"/>
      <name val="Arial"/>
      <family val="2"/>
    </font>
    <font>
      <u/>
      <sz val="11"/>
      <color theme="10"/>
      <name val="Calibri"/>
      <family val="2"/>
      <scheme val="minor"/>
    </font>
    <font>
      <sz val="10"/>
      <name val="Arial"/>
      <family val="2"/>
    </font>
    <font>
      <sz val="12"/>
      <name val="Arial"/>
      <family val="2"/>
    </font>
    <font>
      <sz val="10"/>
      <name val="Geneva"/>
      <family val="2"/>
    </font>
    <font>
      <sz val="9"/>
      <name val="Helv"/>
    </font>
    <font>
      <sz val="11"/>
      <color indexed="8"/>
      <name val="Calibri"/>
      <family val="2"/>
    </font>
    <font>
      <sz val="10"/>
      <color indexed="8"/>
      <name val="Arial"/>
      <family val="2"/>
    </font>
    <font>
      <sz val="11"/>
      <color indexed="9"/>
      <name val="Calibri"/>
      <family val="2"/>
    </font>
    <font>
      <sz val="10"/>
      <color indexed="43"/>
      <name val="Arial"/>
      <family val="2"/>
    </font>
    <font>
      <sz val="12"/>
      <name val="¹UAAA¼"/>
      <family val="3"/>
      <charset val="129"/>
    </font>
    <font>
      <b/>
      <sz val="11"/>
      <color indexed="63"/>
      <name val="Calibri"/>
      <family val="2"/>
    </font>
    <font>
      <sz val="11"/>
      <color indexed="10"/>
      <name val="Calibri"/>
      <family val="2"/>
    </font>
    <font>
      <sz val="10"/>
      <color indexed="20"/>
      <name val="Arial"/>
      <family val="2"/>
    </font>
    <font>
      <sz val="11"/>
      <color indexed="20"/>
      <name val="Calibri"/>
      <family val="2"/>
    </font>
    <font>
      <b/>
      <sz val="11"/>
      <color indexed="52"/>
      <name val="Calibri"/>
      <family val="2"/>
    </font>
    <font>
      <u/>
      <sz val="6"/>
      <color indexed="36"/>
      <name val="Helvetica"/>
      <family val="2"/>
    </font>
    <font>
      <sz val="10"/>
      <name val="MS Sans Serif"/>
      <family val="2"/>
    </font>
    <font>
      <b/>
      <sz val="10"/>
      <color indexed="52"/>
      <name val="Arial"/>
      <family val="2"/>
    </font>
    <font>
      <b/>
      <sz val="11"/>
      <color indexed="10"/>
      <name val="Calibri"/>
      <family val="2"/>
    </font>
    <font>
      <sz val="11"/>
      <color indexed="52"/>
      <name val="Calibri"/>
      <family val="2"/>
    </font>
    <font>
      <b/>
      <sz val="10"/>
      <color indexed="43"/>
      <name val="Arial"/>
      <family val="2"/>
    </font>
    <font>
      <b/>
      <sz val="11"/>
      <color indexed="9"/>
      <name val="Calibri"/>
      <family val="2"/>
    </font>
    <font>
      <sz val="12"/>
      <name val=".VnTime"/>
      <family val="1"/>
    </font>
    <font>
      <sz val="12"/>
      <name val="MS Sans Serif"/>
      <family val="2"/>
    </font>
    <font>
      <sz val="11"/>
      <color indexed="62"/>
      <name val="Calibri"/>
      <family val="2"/>
    </font>
    <font>
      <b/>
      <sz val="11"/>
      <color indexed="8"/>
      <name val="Calibri"/>
      <family val="2"/>
    </font>
    <font>
      <i/>
      <sz val="11"/>
      <color indexed="23"/>
      <name val="Calibri"/>
      <family val="2"/>
    </font>
    <font>
      <i/>
      <sz val="10"/>
      <color indexed="23"/>
      <name val="Arial"/>
      <family val="2"/>
    </font>
    <font>
      <sz val="10"/>
      <color indexed="17"/>
      <name val="Arial"/>
      <family val="2"/>
    </font>
    <font>
      <sz val="11"/>
      <color indexed="17"/>
      <name val="Calibri"/>
      <family val="2"/>
    </font>
    <font>
      <b/>
      <sz val="12"/>
      <name val="Arial"/>
      <family val="2"/>
    </font>
    <font>
      <b/>
      <sz val="15"/>
      <color indexed="62"/>
      <name val="Arial"/>
      <family val="2"/>
    </font>
    <font>
      <b/>
      <sz val="15"/>
      <color indexed="56"/>
      <name val="Calibri"/>
      <family val="2"/>
    </font>
    <font>
      <b/>
      <sz val="15"/>
      <color indexed="62"/>
      <name val="Calibri"/>
      <family val="2"/>
    </font>
    <font>
      <b/>
      <sz val="13"/>
      <color indexed="62"/>
      <name val="Arial"/>
      <family val="2"/>
    </font>
    <font>
      <b/>
      <sz val="13"/>
      <color indexed="56"/>
      <name val="Calibri"/>
      <family val="2"/>
    </font>
    <font>
      <b/>
      <sz val="13"/>
      <color indexed="62"/>
      <name val="Calibri"/>
      <family val="2"/>
    </font>
    <font>
      <b/>
      <sz val="11"/>
      <color indexed="62"/>
      <name val="Arial"/>
      <family val="2"/>
    </font>
    <font>
      <b/>
      <sz val="11"/>
      <color indexed="56"/>
      <name val="Calibri"/>
      <family val="2"/>
    </font>
    <font>
      <b/>
      <sz val="11"/>
      <color indexed="62"/>
      <name val="Calibri"/>
      <family val="2"/>
    </font>
    <font>
      <shadow/>
      <sz val="12"/>
      <color indexed="9"/>
      <name val="Arial"/>
      <family val="2"/>
    </font>
    <font>
      <sz val="12"/>
      <color indexed="9"/>
      <name val="Arial"/>
      <family val="2"/>
    </font>
    <font>
      <u/>
      <sz val="10"/>
      <color theme="10"/>
      <name val="Arial"/>
      <family val="2"/>
    </font>
    <font>
      <u/>
      <sz val="10"/>
      <color indexed="12"/>
      <name val="Arial"/>
      <family val="2"/>
    </font>
    <font>
      <u/>
      <sz val="10.45"/>
      <color indexed="12"/>
      <name val="Arial"/>
      <family val="2"/>
    </font>
    <font>
      <sz val="10"/>
      <color indexed="62"/>
      <name val="Arial"/>
      <family val="2"/>
    </font>
    <font>
      <sz val="12"/>
      <name val="VNTime"/>
      <family val="2"/>
    </font>
    <font>
      <sz val="10"/>
      <color indexed="52"/>
      <name val="Arial"/>
      <family val="2"/>
    </font>
    <font>
      <sz val="10"/>
      <color indexed="60"/>
      <name val="Arial"/>
      <family val="2"/>
    </font>
    <font>
      <sz val="11"/>
      <color indexed="60"/>
      <name val="Calibri"/>
      <family val="2"/>
    </font>
    <font>
      <sz val="11"/>
      <color indexed="19"/>
      <name val="Calibri"/>
      <family val="2"/>
    </font>
    <font>
      <sz val="12"/>
      <color theme="1"/>
      <name val="Times New Roman"/>
      <family val="2"/>
    </font>
    <font>
      <sz val="11"/>
      <color theme="1"/>
      <name val="Arial"/>
      <family val="2"/>
    </font>
    <font>
      <sz val="10"/>
      <color theme="1"/>
      <name val="Calibri"/>
      <family val="2"/>
    </font>
    <font>
      <sz val="10"/>
      <color theme="1"/>
      <name val="Verdana"/>
      <family val="2"/>
    </font>
    <font>
      <sz val="10"/>
      <color theme="1"/>
      <name val="Times New Roman"/>
      <family val="2"/>
    </font>
    <font>
      <b/>
      <sz val="10"/>
      <color indexed="16"/>
      <name val="Arial"/>
      <family val="2"/>
    </font>
    <font>
      <b/>
      <sz val="10"/>
      <color indexed="63"/>
      <name val="Arial"/>
      <family val="2"/>
    </font>
    <font>
      <b/>
      <sz val="18"/>
      <color indexed="62"/>
      <name val="Cambria"/>
      <family val="2"/>
    </font>
    <font>
      <b/>
      <sz val="18"/>
      <color indexed="56"/>
      <name val="Cambria"/>
      <family val="2"/>
    </font>
    <font>
      <b/>
      <sz val="10"/>
      <color indexed="8"/>
      <name val="Arial"/>
      <family val="2"/>
    </font>
    <font>
      <b/>
      <sz val="10"/>
      <color indexed="12"/>
      <name val="Arial"/>
      <family val="2"/>
    </font>
    <font>
      <sz val="10"/>
      <color indexed="10"/>
      <name val="Arial"/>
      <family val="2"/>
    </font>
    <font>
      <sz val="14"/>
      <name val="뼻뮝"/>
      <family val="3"/>
    </font>
    <font>
      <sz val="12"/>
      <name val="바탕체"/>
      <family val="3"/>
    </font>
    <font>
      <sz val="12"/>
      <name val="뼻뮝"/>
      <family val="3"/>
    </font>
    <font>
      <sz val="12"/>
      <name val="돋움체"/>
      <family val="3"/>
      <charset val="129"/>
    </font>
    <font>
      <sz val="11"/>
      <name val="돋움"/>
      <family val="3"/>
      <charset val="129"/>
    </font>
    <font>
      <sz val="12"/>
      <name val="新細明體"/>
      <charset val="136"/>
    </font>
    <font>
      <sz val="10"/>
      <name val="Arial"/>
      <family val="2"/>
    </font>
    <font>
      <b/>
      <sz val="9"/>
      <color indexed="81"/>
      <name val="Tahoma"/>
      <family val="2"/>
    </font>
    <font>
      <b/>
      <sz val="10"/>
      <color indexed="81"/>
      <name val="Tahoma"/>
      <family val="2"/>
    </font>
    <font>
      <sz val="18"/>
      <name val="Arial"/>
      <family val="2"/>
    </font>
    <font>
      <sz val="14"/>
      <name val="Arial"/>
      <family val="2"/>
    </font>
    <font>
      <sz val="9"/>
      <color indexed="81"/>
      <name val="Tahoma"/>
      <family val="2"/>
    </font>
    <font>
      <b/>
      <sz val="11"/>
      <color theme="1"/>
      <name val="Calibri"/>
      <family val="2"/>
      <scheme val="minor"/>
    </font>
    <font>
      <b/>
      <sz val="10"/>
      <color rgb="FFFFFFFF"/>
      <name val="Arial"/>
      <family val="2"/>
    </font>
  </fonts>
  <fills count="39">
    <fill>
      <patternFill patternType="none"/>
    </fill>
    <fill>
      <patternFill patternType="gray125"/>
    </fill>
    <fill>
      <patternFill patternType="solid">
        <fgColor rgb="FFFFC7CE"/>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9"/>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55"/>
      </patternFill>
    </fill>
    <fill>
      <patternFill patternType="gray0625"/>
    </fill>
    <fill>
      <patternFill patternType="solid">
        <fgColor indexed="9"/>
        <bgColor indexed="64"/>
      </patternFill>
    </fill>
    <fill>
      <patternFill patternType="solid">
        <fgColor indexed="65"/>
        <bgColor indexed="64"/>
      </patternFill>
    </fill>
    <fill>
      <patternFill patternType="solid">
        <fgColor indexed="22"/>
        <bgColor indexed="64"/>
      </patternFill>
    </fill>
    <fill>
      <patternFill patternType="solid">
        <fgColor rgb="FF4F81BD"/>
        <bgColor indexed="64"/>
      </patternFill>
    </fill>
    <fill>
      <patternFill patternType="solid">
        <fgColor rgb="FFA7BFDE"/>
        <bgColor indexed="64"/>
      </patternFill>
    </fill>
    <fill>
      <patternFill patternType="solid">
        <fgColor rgb="FFD3DFEE"/>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s>
  <borders count="38">
    <border>
      <left/>
      <right/>
      <top/>
      <bottom/>
      <diagonal/>
    </border>
    <border>
      <left style="thin">
        <color rgb="FFB2B2B2"/>
      </left>
      <right style="thin">
        <color rgb="FFB2B2B2"/>
      </right>
      <top style="thin">
        <color rgb="FFB2B2B2"/>
      </top>
      <bottom style="thin">
        <color rgb="FFB2B2B2"/>
      </bottom>
      <diagonal/>
    </border>
    <border>
      <left/>
      <right/>
      <top style="medium">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medium">
        <color indexed="64"/>
      </left>
      <right style="thin">
        <color indexed="64"/>
      </right>
      <top style="thin">
        <color indexed="64"/>
      </top>
      <bottom style="thin">
        <color indexed="64"/>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medium">
        <color indexed="64"/>
      </top>
      <bottom style="thin">
        <color indexed="64"/>
      </bottom>
      <diagonal/>
    </border>
    <border>
      <left/>
      <right/>
      <top style="thin">
        <color indexed="62"/>
      </top>
      <bottom style="double">
        <color indexed="62"/>
      </bottom>
      <diagonal/>
    </border>
    <border>
      <left/>
      <right/>
      <top style="thin">
        <color indexed="64"/>
      </top>
      <bottom style="thin">
        <color indexed="64"/>
      </bottom>
      <diagonal/>
    </border>
    <border>
      <left/>
      <right/>
      <top/>
      <bottom style="thick">
        <color indexed="49"/>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49"/>
      </bottom>
      <diagonal/>
    </border>
    <border>
      <left/>
      <right/>
      <top/>
      <bottom style="medium">
        <color indexed="30"/>
      </bottom>
      <diagonal/>
    </border>
    <border>
      <left/>
      <right/>
      <top/>
      <bottom style="medium">
        <color indexed="27"/>
      </bottom>
      <diagonal/>
    </border>
    <border>
      <left/>
      <right/>
      <top/>
      <bottom style="double">
        <color indexed="10"/>
      </bottom>
      <diagonal/>
    </border>
    <border>
      <left/>
      <right/>
      <top style="thin">
        <color indexed="49"/>
      </top>
      <bottom style="double">
        <color indexed="49"/>
      </bottom>
      <diagonal/>
    </border>
    <border>
      <left/>
      <right/>
      <top style="thin">
        <color indexed="56"/>
      </top>
      <bottom style="double">
        <color indexed="56"/>
      </bottom>
      <diagonal/>
    </border>
    <border>
      <left style="medium">
        <color indexed="64"/>
      </left>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rgb="FFFFFFFF"/>
      </left>
      <right style="medium">
        <color rgb="FFFFFFFF"/>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thick">
        <color rgb="FFFFFFFF"/>
      </right>
      <top/>
      <bottom style="medium">
        <color rgb="FFFFFFFF"/>
      </bottom>
      <diagonal/>
    </border>
    <border>
      <left/>
      <right style="medium">
        <color rgb="FFFFFFFF"/>
      </right>
      <top/>
      <bottom style="medium">
        <color rgb="FFFFFFFF"/>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760">
    <xf numFmtId="0" fontId="0" fillId="0" borderId="0"/>
    <xf numFmtId="9" fontId="1" fillId="0" borderId="0" applyFont="0" applyFill="0" applyBorder="0" applyAlignment="0" applyProtection="0"/>
    <xf numFmtId="0" fontId="2" fillId="2" borderId="0" applyNumberFormat="0" applyBorder="0" applyAlignment="0" applyProtection="0"/>
    <xf numFmtId="0" fontId="4" fillId="0" borderId="0" applyNumberFormat="0" applyFill="0" applyBorder="0" applyAlignment="0" applyProtection="0"/>
    <xf numFmtId="0" fontId="5" fillId="0" borderId="0"/>
    <xf numFmtId="0" fontId="5" fillId="0" borderId="0"/>
    <xf numFmtId="0" fontId="6" fillId="0" borderId="0"/>
    <xf numFmtId="0" fontId="7" fillId="0" borderId="0"/>
    <xf numFmtId="1" fontId="8" fillId="0" borderId="0" applyFont="0" applyFill="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10" fillId="10" borderId="0" applyNumberFormat="0" applyBorder="0" applyAlignment="0" applyProtection="0"/>
    <xf numFmtId="0" fontId="9" fillId="4" borderId="0" applyNumberFormat="0" applyBorder="0" applyAlignment="0" applyProtection="0"/>
    <xf numFmtId="0" fontId="10" fillId="10" borderId="0" applyNumberFormat="0" applyBorder="0" applyAlignment="0" applyProtection="0"/>
    <xf numFmtId="0" fontId="9" fillId="4" borderId="0" applyNumberFormat="0" applyBorder="0" applyAlignment="0" applyProtection="0"/>
    <xf numFmtId="0" fontId="10" fillId="10" borderId="0" applyNumberFormat="0" applyBorder="0" applyAlignment="0" applyProtection="0"/>
    <xf numFmtId="0" fontId="9" fillId="4"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10" fillId="9" borderId="0" applyNumberFormat="0" applyBorder="0" applyAlignment="0" applyProtection="0"/>
    <xf numFmtId="0" fontId="9" fillId="5" borderId="0" applyNumberFormat="0" applyBorder="0" applyAlignment="0" applyProtection="0"/>
    <xf numFmtId="0" fontId="10" fillId="9" borderId="0" applyNumberFormat="0" applyBorder="0" applyAlignment="0" applyProtection="0"/>
    <xf numFmtId="0" fontId="9" fillId="5" borderId="0" applyNumberFormat="0" applyBorder="0" applyAlignment="0" applyProtection="0"/>
    <xf numFmtId="0" fontId="10" fillId="9"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10" fillId="13" borderId="0" applyNumberFormat="0" applyBorder="0" applyAlignment="0" applyProtection="0"/>
    <xf numFmtId="0" fontId="9" fillId="6" borderId="0" applyNumberFormat="0" applyBorder="0" applyAlignment="0" applyProtection="0"/>
    <xf numFmtId="0" fontId="10" fillId="13" borderId="0" applyNumberFormat="0" applyBorder="0" applyAlignment="0" applyProtection="0"/>
    <xf numFmtId="0" fontId="9" fillId="6" borderId="0" applyNumberFormat="0" applyBorder="0" applyAlignment="0" applyProtection="0"/>
    <xf numFmtId="0" fontId="10" fillId="13" borderId="0" applyNumberFormat="0" applyBorder="0" applyAlignment="0" applyProtection="0"/>
    <xf numFmtId="0" fontId="9" fillId="6"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10" fillId="10" borderId="0" applyNumberFormat="0" applyBorder="0" applyAlignment="0" applyProtection="0"/>
    <xf numFmtId="0" fontId="9" fillId="7" borderId="0" applyNumberFormat="0" applyBorder="0" applyAlignment="0" applyProtection="0"/>
    <xf numFmtId="0" fontId="10" fillId="10" borderId="0" applyNumberFormat="0" applyBorder="0" applyAlignment="0" applyProtection="0"/>
    <xf numFmtId="0" fontId="9" fillId="7" borderId="0" applyNumberFormat="0" applyBorder="0" applyAlignment="0" applyProtection="0"/>
    <xf numFmtId="0" fontId="10" fillId="10"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10" fillId="8" borderId="0" applyNumberFormat="0" applyBorder="0" applyAlignment="0" applyProtection="0"/>
    <xf numFmtId="0" fontId="9" fillId="8" borderId="0" applyNumberFormat="0" applyBorder="0" applyAlignment="0" applyProtection="0"/>
    <xf numFmtId="0" fontId="10" fillId="8" borderId="0" applyNumberFormat="0" applyBorder="0" applyAlignment="0" applyProtection="0"/>
    <xf numFmtId="0" fontId="9" fillId="8" borderId="0" applyNumberFormat="0" applyBorder="0" applyAlignment="0" applyProtection="0"/>
    <xf numFmtId="0" fontId="1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xf numFmtId="0" fontId="9" fillId="9" borderId="0" applyNumberFormat="0" applyBorder="0" applyAlignment="0" applyProtection="0"/>
    <xf numFmtId="0" fontId="10" fillId="9" borderId="0" applyNumberFormat="0" applyBorder="0" applyAlignment="0" applyProtection="0"/>
    <xf numFmtId="0" fontId="9" fillId="9" borderId="0" applyNumberFormat="0" applyBorder="0" applyAlignment="0" applyProtection="0"/>
    <xf numFmtId="0" fontId="10" fillId="9"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9" fillId="11" borderId="0" applyNumberFormat="0" applyBorder="0" applyAlignment="0" applyProtection="0"/>
    <xf numFmtId="0" fontId="10" fillId="16" borderId="0" applyNumberFormat="0" applyBorder="0" applyAlignment="0" applyProtection="0"/>
    <xf numFmtId="0" fontId="9" fillId="11" borderId="0" applyNumberFormat="0" applyBorder="0" applyAlignment="0" applyProtection="0"/>
    <xf numFmtId="0" fontId="10" fillId="16" borderId="0" applyNumberFormat="0" applyBorder="0" applyAlignment="0" applyProtection="0"/>
    <xf numFmtId="0" fontId="9" fillId="11"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10" fillId="12" borderId="0" applyNumberFormat="0" applyBorder="0" applyAlignment="0" applyProtection="0"/>
    <xf numFmtId="0" fontId="9" fillId="12" borderId="0" applyNumberFormat="0" applyBorder="0" applyAlignment="0" applyProtection="0"/>
    <xf numFmtId="0" fontId="10" fillId="12" borderId="0" applyNumberFormat="0" applyBorder="0" applyAlignment="0" applyProtection="0"/>
    <xf numFmtId="0" fontId="9" fillId="12" borderId="0" applyNumberFormat="0" applyBorder="0" applyAlignment="0" applyProtection="0"/>
    <xf numFmtId="0" fontId="10"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10" fillId="17" borderId="0" applyNumberFormat="0" applyBorder="0" applyAlignment="0" applyProtection="0"/>
    <xf numFmtId="0" fontId="9" fillId="14" borderId="0" applyNumberFormat="0" applyBorder="0" applyAlignment="0" applyProtection="0"/>
    <xf numFmtId="0" fontId="10" fillId="17" borderId="0" applyNumberFormat="0" applyBorder="0" applyAlignment="0" applyProtection="0"/>
    <xf numFmtId="0" fontId="9" fillId="14" borderId="0" applyNumberFormat="0" applyBorder="0" applyAlignment="0" applyProtection="0"/>
    <xf numFmtId="0" fontId="10" fillId="17" borderId="0" applyNumberFormat="0" applyBorder="0" applyAlignment="0" applyProtection="0"/>
    <xf numFmtId="0" fontId="9" fillId="14"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10" fillId="16" borderId="0" applyNumberFormat="0" applyBorder="0" applyAlignment="0" applyProtection="0"/>
    <xf numFmtId="0" fontId="9" fillId="7" borderId="0" applyNumberFormat="0" applyBorder="0" applyAlignment="0" applyProtection="0"/>
    <xf numFmtId="0" fontId="10" fillId="16" borderId="0" applyNumberFormat="0" applyBorder="0" applyAlignment="0" applyProtection="0"/>
    <xf numFmtId="0" fontId="9" fillId="7" borderId="0" applyNumberFormat="0" applyBorder="0" applyAlignment="0" applyProtection="0"/>
    <xf numFmtId="0" fontId="10" fillId="16" borderId="0" applyNumberFormat="0" applyBorder="0" applyAlignment="0" applyProtection="0"/>
    <xf numFmtId="0" fontId="9" fillId="7"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10" fillId="11" borderId="0" applyNumberFormat="0" applyBorder="0" applyAlignment="0" applyProtection="0"/>
    <xf numFmtId="0" fontId="9" fillId="11" borderId="0" applyNumberFormat="0" applyBorder="0" applyAlignment="0" applyProtection="0"/>
    <xf numFmtId="0" fontId="10" fillId="11" borderId="0" applyNumberFormat="0" applyBorder="0" applyAlignment="0" applyProtection="0"/>
    <xf numFmtId="0" fontId="9" fillId="11" borderId="0" applyNumberFormat="0" applyBorder="0" applyAlignment="0" applyProtection="0"/>
    <xf numFmtId="0" fontId="10" fillId="11" borderId="0" applyNumberFormat="0" applyBorder="0" applyAlignment="0" applyProtection="0"/>
    <xf numFmtId="0" fontId="9" fillId="11"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xf numFmtId="0" fontId="9" fillId="15" borderId="0" applyNumberFormat="0" applyBorder="0" applyAlignment="0" applyProtection="0"/>
    <xf numFmtId="0" fontId="10" fillId="9" borderId="0" applyNumberFormat="0" applyBorder="0" applyAlignment="0" applyProtection="0"/>
    <xf numFmtId="0" fontId="9" fillId="15" borderId="0" applyNumberFormat="0" applyBorder="0" applyAlignment="0" applyProtection="0"/>
    <xf numFmtId="0" fontId="10" fillId="9" borderId="0" applyNumberFormat="0" applyBorder="0" applyAlignment="0" applyProtection="0"/>
    <xf numFmtId="0" fontId="9" fillId="15"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11" fillId="18"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18"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2" fillId="20" borderId="0" applyNumberFormat="0" applyBorder="0" applyAlignment="0" applyProtection="0"/>
    <xf numFmtId="0" fontId="11" fillId="18" borderId="0" applyNumberFormat="0" applyBorder="0" applyAlignment="0" applyProtection="0"/>
    <xf numFmtId="0" fontId="12" fillId="20" borderId="0" applyNumberFormat="0" applyBorder="0" applyAlignment="0" applyProtection="0"/>
    <xf numFmtId="0" fontId="11" fillId="18" borderId="0" applyNumberFormat="0" applyBorder="0" applyAlignment="0" applyProtection="0"/>
    <xf numFmtId="0" fontId="12" fillId="20" borderId="0" applyNumberFormat="0" applyBorder="0" applyAlignment="0" applyProtection="0"/>
    <xf numFmtId="0" fontId="11" fillId="1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2" fillId="12" borderId="0" applyNumberFormat="0" applyBorder="0" applyAlignment="0" applyProtection="0"/>
    <xf numFmtId="0" fontId="11" fillId="12" borderId="0" applyNumberFormat="0" applyBorder="0" applyAlignment="0" applyProtection="0"/>
    <xf numFmtId="0" fontId="12" fillId="12" borderId="0" applyNumberFormat="0" applyBorder="0" applyAlignment="0" applyProtection="0"/>
    <xf numFmtId="0" fontId="11" fillId="12" borderId="0" applyNumberFormat="0" applyBorder="0" applyAlignment="0" applyProtection="0"/>
    <xf numFmtId="0" fontId="12" fillId="12" borderId="0" applyNumberFormat="0" applyBorder="0" applyAlignment="0" applyProtection="0"/>
    <xf numFmtId="0" fontId="11" fillId="1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2" fillId="17" borderId="0" applyNumberFormat="0" applyBorder="0" applyAlignment="0" applyProtection="0"/>
    <xf numFmtId="0" fontId="11" fillId="14" borderId="0" applyNumberFormat="0" applyBorder="0" applyAlignment="0" applyProtection="0"/>
    <xf numFmtId="0" fontId="12" fillId="17" borderId="0" applyNumberFormat="0" applyBorder="0" applyAlignment="0" applyProtection="0"/>
    <xf numFmtId="0" fontId="11" fillId="14" borderId="0" applyNumberFormat="0" applyBorder="0" applyAlignment="0" applyProtection="0"/>
    <xf numFmtId="0" fontId="12" fillId="17"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2" fillId="16" borderId="0" applyNumberFormat="0" applyBorder="0" applyAlignment="0" applyProtection="0"/>
    <xf numFmtId="0" fontId="11" fillId="19" borderId="0" applyNumberFormat="0" applyBorder="0" applyAlignment="0" applyProtection="0"/>
    <xf numFmtId="0" fontId="12" fillId="16" borderId="0" applyNumberFormat="0" applyBorder="0" applyAlignment="0" applyProtection="0"/>
    <xf numFmtId="0" fontId="11" fillId="19" borderId="0" applyNumberFormat="0" applyBorder="0" applyAlignment="0" applyProtection="0"/>
    <xf numFmtId="0" fontId="12" fillId="16" borderId="0" applyNumberFormat="0" applyBorder="0" applyAlignment="0" applyProtection="0"/>
    <xf numFmtId="0" fontId="11" fillId="19"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2" fillId="20" borderId="0" applyNumberFormat="0" applyBorder="0" applyAlignment="0" applyProtection="0"/>
    <xf numFmtId="0" fontId="11" fillId="20" borderId="0" applyNumberFormat="0" applyBorder="0" applyAlignment="0" applyProtection="0"/>
    <xf numFmtId="0" fontId="12" fillId="20" borderId="0" applyNumberFormat="0" applyBorder="0" applyAlignment="0" applyProtection="0"/>
    <xf numFmtId="0" fontId="11" fillId="20" borderId="0" applyNumberFormat="0" applyBorder="0" applyAlignment="0" applyProtection="0"/>
    <xf numFmtId="0" fontId="12" fillId="20" borderId="0" applyNumberFormat="0" applyBorder="0" applyAlignment="0" applyProtection="0"/>
    <xf numFmtId="0" fontId="11" fillId="20"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2" fillId="9" borderId="0" applyNumberFormat="0" applyBorder="0" applyAlignment="0" applyProtection="0"/>
    <xf numFmtId="0" fontId="11" fillId="21" borderId="0" applyNumberFormat="0" applyBorder="0" applyAlignment="0" applyProtection="0"/>
    <xf numFmtId="0" fontId="12" fillId="9" borderId="0" applyNumberFormat="0" applyBorder="0" applyAlignment="0" applyProtection="0"/>
    <xf numFmtId="0" fontId="11" fillId="21" borderId="0" applyNumberFormat="0" applyBorder="0" applyAlignment="0" applyProtection="0"/>
    <xf numFmtId="0" fontId="12" fillId="9" borderId="0" applyNumberFormat="0" applyBorder="0" applyAlignment="0" applyProtection="0"/>
    <xf numFmtId="0" fontId="11" fillId="2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2" fillId="20" borderId="0" applyNumberFormat="0" applyBorder="0" applyAlignment="0" applyProtection="0"/>
    <xf numFmtId="0" fontId="11" fillId="23" borderId="0" applyNumberFormat="0" applyBorder="0" applyAlignment="0" applyProtection="0"/>
    <xf numFmtId="0" fontId="12" fillId="20" borderId="0" applyNumberFormat="0" applyBorder="0" applyAlignment="0" applyProtection="0"/>
    <xf numFmtId="0" fontId="11" fillId="23" borderId="0" applyNumberFormat="0" applyBorder="0" applyAlignment="0" applyProtection="0"/>
    <xf numFmtId="0" fontId="12"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2" fillId="25" borderId="0" applyNumberFormat="0" applyBorder="0" applyAlignment="0" applyProtection="0"/>
    <xf numFmtId="0" fontId="11" fillId="25" borderId="0" applyNumberFormat="0" applyBorder="0" applyAlignment="0" applyProtection="0"/>
    <xf numFmtId="0" fontId="12" fillId="25" borderId="0" applyNumberFormat="0" applyBorder="0" applyAlignment="0" applyProtection="0"/>
    <xf numFmtId="0" fontId="11" fillId="25" borderId="0" applyNumberFormat="0" applyBorder="0" applyAlignment="0" applyProtection="0"/>
    <xf numFmtId="0" fontId="12" fillId="25" borderId="0" applyNumberFormat="0" applyBorder="0" applyAlignment="0" applyProtection="0"/>
    <xf numFmtId="0" fontId="11" fillId="25"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2" fillId="26" borderId="0" applyNumberFormat="0" applyBorder="0" applyAlignment="0" applyProtection="0"/>
    <xf numFmtId="0" fontId="11" fillId="26" borderId="0" applyNumberFormat="0" applyBorder="0" applyAlignment="0" applyProtection="0"/>
    <xf numFmtId="0" fontId="12" fillId="26" borderId="0" applyNumberFormat="0" applyBorder="0" applyAlignment="0" applyProtection="0"/>
    <xf numFmtId="0" fontId="11" fillId="26" borderId="0" applyNumberFormat="0" applyBorder="0" applyAlignment="0" applyProtection="0"/>
    <xf numFmtId="0" fontId="12" fillId="26" borderId="0" applyNumberFormat="0" applyBorder="0" applyAlignment="0" applyProtection="0"/>
    <xf numFmtId="0" fontId="11" fillId="26"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2" fillId="27" borderId="0" applyNumberFormat="0" applyBorder="0" applyAlignment="0" applyProtection="0"/>
    <xf numFmtId="0" fontId="11" fillId="19" borderId="0" applyNumberFormat="0" applyBorder="0" applyAlignment="0" applyProtection="0"/>
    <xf numFmtId="0" fontId="12" fillId="27" borderId="0" applyNumberFormat="0" applyBorder="0" applyAlignment="0" applyProtection="0"/>
    <xf numFmtId="0" fontId="11" fillId="19" borderId="0" applyNumberFormat="0" applyBorder="0" applyAlignment="0" applyProtection="0"/>
    <xf numFmtId="0" fontId="12" fillId="27" borderId="0" applyNumberFormat="0" applyBorder="0" applyAlignment="0" applyProtection="0"/>
    <xf numFmtId="0" fontId="11" fillId="19"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2" fillId="20" borderId="0" applyNumberFormat="0" applyBorder="0" applyAlignment="0" applyProtection="0"/>
    <xf numFmtId="0" fontId="11" fillId="20" borderId="0" applyNumberFormat="0" applyBorder="0" applyAlignment="0" applyProtection="0"/>
    <xf numFmtId="0" fontId="12" fillId="20" borderId="0" applyNumberFormat="0" applyBorder="0" applyAlignment="0" applyProtection="0"/>
    <xf numFmtId="0" fontId="11" fillId="20" borderId="0" applyNumberFormat="0" applyBorder="0" applyAlignment="0" applyProtection="0"/>
    <xf numFmtId="0" fontId="12"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2" fillId="22" borderId="0" applyNumberFormat="0" applyBorder="0" applyAlignment="0" applyProtection="0"/>
    <xf numFmtId="0" fontId="11" fillId="22" borderId="0" applyNumberFormat="0" applyBorder="0" applyAlignment="0" applyProtection="0"/>
    <xf numFmtId="0" fontId="12" fillId="22" borderId="0" applyNumberFormat="0" applyBorder="0" applyAlignment="0" applyProtection="0"/>
    <xf numFmtId="0" fontId="11" fillId="22" borderId="0" applyNumberFormat="0" applyBorder="0" applyAlignment="0" applyProtection="0"/>
    <xf numFmtId="0" fontId="12" fillId="22" borderId="0" applyNumberFormat="0" applyBorder="0" applyAlignment="0" applyProtection="0"/>
    <xf numFmtId="0" fontId="11" fillId="22"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3"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2" borderId="0" applyNumberFormat="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4" fillId="16" borderId="3" applyNumberFormat="0" applyAlignment="0" applyProtection="0"/>
    <xf numFmtId="0" fontId="15" fillId="0" borderId="0" applyNumberFormat="0" applyFill="0" applyBorder="0" applyAlignment="0" applyProtection="0"/>
    <xf numFmtId="0" fontId="16" fillId="5" borderId="0" applyNumberFormat="0" applyBorder="0" applyAlignment="0" applyProtection="0"/>
    <xf numFmtId="0" fontId="17" fillId="5" borderId="0" applyNumberFormat="0" applyBorder="0" applyAlignment="0" applyProtection="0"/>
    <xf numFmtId="0" fontId="2" fillId="2" borderId="0" applyNumberFormat="0" applyBorder="0" applyAlignment="0" applyProtection="0"/>
    <xf numFmtId="0" fontId="16" fillId="5" borderId="0" applyNumberFormat="0" applyBorder="0" applyAlignment="0" applyProtection="0"/>
    <xf numFmtId="0" fontId="17" fillId="5" borderId="0" applyNumberFormat="0" applyBorder="0" applyAlignment="0" applyProtection="0"/>
    <xf numFmtId="0" fontId="16" fillId="5" borderId="0" applyNumberFormat="0" applyBorder="0" applyAlignment="0" applyProtection="0"/>
    <xf numFmtId="164" fontId="2" fillId="2" borderId="0" applyNumberFormat="0" applyBorder="0" applyAlignment="0" applyProtection="0"/>
    <xf numFmtId="0" fontId="17" fillId="5"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8" fillId="16" borderId="4" applyNumberFormat="0" applyAlignment="0" applyProtection="0"/>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20" fillId="0" borderId="5" applyNumberFormat="0" applyFont="0" applyFill="0" applyAlignment="0" applyProtection="0"/>
    <xf numFmtId="0" fontId="20" fillId="0" borderId="5" applyNumberFormat="0" applyFont="0" applyFill="0" applyAlignment="0" applyProtection="0"/>
    <xf numFmtId="164" fontId="20" fillId="0" borderId="5" applyNumberFormat="0" applyFont="0" applyFill="0" applyAlignment="0" applyProtection="0"/>
    <xf numFmtId="164" fontId="20" fillId="0" borderId="5" applyNumberFormat="0" applyFont="0" applyFill="0" applyAlignment="0" applyProtection="0"/>
    <xf numFmtId="0" fontId="13" fillId="0" borderId="0"/>
    <xf numFmtId="0" fontId="18" fillId="16" borderId="4" applyNumberFormat="0" applyAlignment="0" applyProtection="0"/>
    <xf numFmtId="0" fontId="21" fillId="10" borderId="4" applyNumberFormat="0" applyAlignment="0" applyProtection="0"/>
    <xf numFmtId="0" fontId="18" fillId="16" borderId="4" applyNumberFormat="0" applyAlignment="0" applyProtection="0"/>
    <xf numFmtId="0" fontId="21" fillId="10" borderId="4" applyNumberFormat="0" applyAlignment="0" applyProtection="0"/>
    <xf numFmtId="0" fontId="18" fillId="16" borderId="4" applyNumberFormat="0" applyAlignment="0" applyProtection="0"/>
    <xf numFmtId="0" fontId="21" fillId="10" borderId="4" applyNumberFormat="0" applyAlignment="0" applyProtection="0"/>
    <xf numFmtId="0" fontId="18" fillId="16" borderId="4" applyNumberFormat="0" applyAlignment="0" applyProtection="0"/>
    <xf numFmtId="0" fontId="22" fillId="10" borderId="4" applyNumberFormat="0" applyAlignment="0" applyProtection="0"/>
    <xf numFmtId="0" fontId="22" fillId="10" borderId="4" applyNumberFormat="0" applyAlignment="0" applyProtection="0"/>
    <xf numFmtId="0" fontId="23" fillId="0" borderId="6" applyNumberFormat="0" applyFill="0" applyAlignment="0" applyProtection="0"/>
    <xf numFmtId="0" fontId="24" fillId="28" borderId="7" applyNumberFormat="0" applyAlignment="0" applyProtection="0"/>
    <xf numFmtId="0" fontId="25" fillId="28" borderId="7" applyNumberFormat="0" applyAlignment="0" applyProtection="0"/>
    <xf numFmtId="0" fontId="24" fillId="28" borderId="7" applyNumberFormat="0" applyAlignment="0" applyProtection="0"/>
    <xf numFmtId="0" fontId="25" fillId="28" borderId="7" applyNumberFormat="0" applyAlignment="0" applyProtection="0"/>
    <xf numFmtId="0" fontId="24" fillId="28" borderId="7" applyNumberFormat="0" applyAlignment="0" applyProtection="0"/>
    <xf numFmtId="0" fontId="25" fillId="28" borderId="7" applyNumberFormat="0" applyAlignment="0" applyProtection="0"/>
    <xf numFmtId="0" fontId="25" fillId="28" borderId="7" applyNumberFormat="0" applyAlignment="0" applyProtection="0"/>
    <xf numFmtId="0" fontId="25" fillId="28" borderId="7" applyNumberFormat="0" applyAlignment="0" applyProtection="0"/>
    <xf numFmtId="43" fontId="5"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165" fontId="9"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165" fontId="5" fillId="0" borderId="0" applyFont="0" applyFill="0" applyBorder="0" applyAlignment="0" applyProtection="0"/>
    <xf numFmtId="3" fontId="5" fillId="0" borderId="0" applyFont="0" applyFill="0" applyBorder="0" applyAlignment="0" applyProtection="0"/>
    <xf numFmtId="0" fontId="9" fillId="13" borderId="8" applyNumberFormat="0" applyFont="0" applyAlignment="0" applyProtection="0"/>
    <xf numFmtId="44" fontId="1" fillId="0" borderId="0" applyFont="0" applyFill="0" applyBorder="0" applyAlignment="0" applyProtection="0"/>
    <xf numFmtId="44" fontId="1" fillId="0" borderId="0" applyFont="0" applyFill="0" applyBorder="0" applyAlignment="0" applyProtection="0"/>
    <xf numFmtId="166" fontId="26" fillId="0" borderId="0" applyFont="0" applyFill="0" applyBorder="0" applyAlignment="0" applyProtection="0"/>
    <xf numFmtId="0" fontId="5" fillId="0" borderId="0" applyFont="0" applyFill="0" applyBorder="0" applyAlignment="0" applyProtection="0"/>
    <xf numFmtId="167" fontId="5" fillId="0" borderId="0" applyFont="0" applyFill="0" applyBorder="0" applyAlignment="0" applyProtection="0"/>
    <xf numFmtId="165" fontId="5" fillId="0" borderId="0" applyFont="0" applyFill="0" applyBorder="0" applyAlignment="0" applyProtection="0"/>
    <xf numFmtId="0" fontId="27" fillId="29" borderId="9" applyNumberFormat="0" applyFont="0" applyBorder="0" applyAlignment="0" applyProtection="0">
      <alignment horizontal="center" vertical="center"/>
    </xf>
    <xf numFmtId="0" fontId="27" fillId="29" borderId="9" applyNumberFormat="0" applyFont="0" applyBorder="0" applyAlignment="0" applyProtection="0">
      <alignment horizontal="center" vertical="center"/>
    </xf>
    <xf numFmtId="164" fontId="27" fillId="29" borderId="9" applyNumberFormat="0" applyFont="0" applyBorder="0" applyAlignment="0" applyProtection="0">
      <alignment horizontal="center" vertical="center"/>
    </xf>
    <xf numFmtId="164" fontId="27" fillId="29" borderId="9" applyNumberFormat="0" applyFont="0" applyBorder="0" applyAlignment="0" applyProtection="0">
      <alignment horizontal="center" vertical="center"/>
    </xf>
    <xf numFmtId="0" fontId="28" fillId="9" borderId="4" applyNumberFormat="0" applyAlignment="0" applyProtection="0"/>
    <xf numFmtId="0" fontId="28" fillId="9" borderId="4" applyNumberFormat="0" applyAlignment="0" applyProtection="0"/>
    <xf numFmtId="0" fontId="29" fillId="0" borderId="10" applyNumberFormat="0" applyFill="0" applyAlignment="0" applyProtection="0"/>
    <xf numFmtId="0" fontId="30" fillId="0" borderId="0" applyNumberForma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5" fillId="0" borderId="0" applyFon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2" fontId="5" fillId="0" borderId="0" applyFont="0" applyFill="0" applyBorder="0" applyAlignment="0" applyProtection="0"/>
    <xf numFmtId="0" fontId="8" fillId="0" borderId="0" applyFill="0" applyBorder="0" applyProtection="0"/>
    <xf numFmtId="0" fontId="32" fillId="6" borderId="0" applyNumberFormat="0" applyBorder="0" applyAlignment="0" applyProtection="0"/>
    <xf numFmtId="0" fontId="33" fillId="6" borderId="0" applyNumberFormat="0" applyBorder="0" applyAlignment="0" applyProtection="0"/>
    <xf numFmtId="0" fontId="32" fillId="6" borderId="0" applyNumberFormat="0" applyBorder="0" applyAlignment="0" applyProtection="0"/>
    <xf numFmtId="0" fontId="33" fillId="6" borderId="0" applyNumberFormat="0" applyBorder="0" applyAlignment="0" applyProtection="0"/>
    <xf numFmtId="0" fontId="32" fillId="6" borderId="0" applyNumberFormat="0" applyBorder="0" applyAlignment="0" applyProtection="0"/>
    <xf numFmtId="0" fontId="33" fillId="6"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6" borderId="0" applyNumberFormat="0" applyBorder="0" applyAlignment="0" applyProtection="0"/>
    <xf numFmtId="0" fontId="34" fillId="0" borderId="2" applyNumberFormat="0" applyAlignment="0" applyProtection="0">
      <alignment horizontal="left" vertical="center"/>
    </xf>
    <xf numFmtId="0" fontId="34" fillId="0" borderId="11">
      <alignment horizontal="left" vertical="center"/>
    </xf>
    <xf numFmtId="0" fontId="35" fillId="0" borderId="12" applyNumberFormat="0" applyFill="0" applyAlignment="0" applyProtection="0"/>
    <xf numFmtId="0" fontId="36" fillId="0" borderId="13" applyNumberFormat="0" applyFill="0" applyAlignment="0" applyProtection="0"/>
    <xf numFmtId="0" fontId="35" fillId="0" borderId="12" applyNumberFormat="0" applyFill="0" applyAlignment="0" applyProtection="0"/>
    <xf numFmtId="0" fontId="36" fillId="0" borderId="13" applyNumberFormat="0" applyFill="0" applyAlignment="0" applyProtection="0"/>
    <xf numFmtId="0" fontId="35" fillId="0" borderId="12" applyNumberFormat="0" applyFill="0" applyAlignment="0" applyProtection="0"/>
    <xf numFmtId="0" fontId="36" fillId="0" borderId="13"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8" fillId="0" borderId="15" applyNumberFormat="0" applyFill="0" applyAlignment="0" applyProtection="0"/>
    <xf numFmtId="0" fontId="39" fillId="0" borderId="15" applyNumberFormat="0" applyFill="0" applyAlignment="0" applyProtection="0"/>
    <xf numFmtId="0" fontId="38" fillId="0" borderId="15" applyNumberFormat="0" applyFill="0" applyAlignment="0" applyProtection="0"/>
    <xf numFmtId="0" fontId="39" fillId="0" borderId="15" applyNumberFormat="0" applyFill="0" applyAlignment="0" applyProtection="0"/>
    <xf numFmtId="0" fontId="38" fillId="0" borderId="15" applyNumberFormat="0" applyFill="0" applyAlignment="0" applyProtection="0"/>
    <xf numFmtId="0" fontId="39" fillId="0" borderId="15"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1" fillId="0" borderId="17" applyNumberFormat="0" applyFill="0" applyAlignment="0" applyProtection="0"/>
    <xf numFmtId="0" fontId="42" fillId="0" borderId="18" applyNumberFormat="0" applyFill="0" applyAlignment="0" applyProtection="0"/>
    <xf numFmtId="0" fontId="41" fillId="0" borderId="17" applyNumberFormat="0" applyFill="0" applyAlignment="0" applyProtection="0"/>
    <xf numFmtId="0" fontId="42" fillId="0" borderId="18" applyNumberFormat="0" applyFill="0" applyAlignment="0" applyProtection="0"/>
    <xf numFmtId="0" fontId="41" fillId="0" borderId="17" applyNumberFormat="0" applyFill="0" applyAlignment="0" applyProtection="0"/>
    <xf numFmtId="0" fontId="42" fillId="0" borderId="18"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169" fontId="44" fillId="0" borderId="0"/>
    <xf numFmtId="169" fontId="45" fillId="0" borderId="0" applyFill="0" applyBorder="0" applyAlignment="0" applyProtection="0"/>
    <xf numFmtId="0" fontId="46" fillId="0" borderId="0" applyNumberFormat="0" applyFill="0" applyBorder="0" applyAlignment="0" applyProtection="0"/>
    <xf numFmtId="0" fontId="47" fillId="0" borderId="0" applyNumberFormat="0" applyFill="0" applyBorder="0" applyAlignment="0" applyProtection="0">
      <alignment vertical="top"/>
      <protection locked="0"/>
    </xf>
    <xf numFmtId="0" fontId="46"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9" borderId="4" applyNumberFormat="0" applyAlignment="0" applyProtection="0"/>
    <xf numFmtId="0" fontId="28" fillId="9" borderId="4" applyNumberFormat="0" applyAlignment="0" applyProtection="0"/>
    <xf numFmtId="0" fontId="49" fillId="9" borderId="4" applyNumberFormat="0" applyAlignment="0" applyProtection="0"/>
    <xf numFmtId="0" fontId="28" fillId="9" borderId="4" applyNumberFormat="0" applyAlignment="0" applyProtection="0"/>
    <xf numFmtId="0" fontId="49" fillId="9" borderId="4" applyNumberFormat="0" applyAlignment="0" applyProtection="0"/>
    <xf numFmtId="0" fontId="28" fillId="9" borderId="4" applyNumberFormat="0" applyAlignment="0" applyProtection="0"/>
    <xf numFmtId="0" fontId="28" fillId="17" borderId="4" applyNumberFormat="0" applyAlignment="0" applyProtection="0"/>
    <xf numFmtId="0" fontId="28" fillId="17" borderId="4" applyNumberFormat="0" applyAlignment="0" applyProtection="0"/>
    <xf numFmtId="0" fontId="17" fillId="5" borderId="0" applyNumberFormat="0" applyBorder="0" applyAlignment="0" applyProtection="0"/>
    <xf numFmtId="0" fontId="50" fillId="0" borderId="0"/>
    <xf numFmtId="170" fontId="6" fillId="0" borderId="0"/>
    <xf numFmtId="170" fontId="6" fillId="0" borderId="0"/>
    <xf numFmtId="171" fontId="6" fillId="0" borderId="0" applyFont="0" applyFill="0" applyBorder="0" applyAlignment="0" applyProtection="0"/>
    <xf numFmtId="170" fontId="6" fillId="0" borderId="0"/>
    <xf numFmtId="0" fontId="51" fillId="0" borderId="6" applyNumberFormat="0" applyFill="0" applyAlignment="0" applyProtection="0"/>
    <xf numFmtId="0" fontId="23" fillId="0" borderId="6" applyNumberFormat="0" applyFill="0" applyAlignment="0" applyProtection="0"/>
    <xf numFmtId="0" fontId="51" fillId="0" borderId="6" applyNumberFormat="0" applyFill="0" applyAlignment="0" applyProtection="0"/>
    <xf numFmtId="0" fontId="23" fillId="0" borderId="6" applyNumberFormat="0" applyFill="0" applyAlignment="0" applyProtection="0"/>
    <xf numFmtId="0" fontId="51" fillId="0" borderId="6" applyNumberFormat="0" applyFill="0" applyAlignment="0" applyProtection="0"/>
    <xf numFmtId="0" fontId="23" fillId="0" borderId="6" applyNumberFormat="0" applyFill="0" applyAlignment="0" applyProtection="0"/>
    <xf numFmtId="0" fontId="15" fillId="0" borderId="20" applyNumberFormat="0" applyFill="0" applyAlignment="0" applyProtection="0"/>
    <xf numFmtId="0" fontId="15" fillId="0" borderId="20" applyNumberFormat="0" applyFill="0" applyAlignment="0" applyProtection="0"/>
    <xf numFmtId="38" fontId="6" fillId="0" borderId="0"/>
    <xf numFmtId="172" fontId="6" fillId="0" borderId="0"/>
    <xf numFmtId="172" fontId="6" fillId="0" borderId="0" applyFont="0" applyFill="0" applyBorder="0" applyAlignment="0" applyProtection="0"/>
    <xf numFmtId="172" fontId="6" fillId="0" borderId="0"/>
    <xf numFmtId="173" fontId="6" fillId="0" borderId="0"/>
    <xf numFmtId="173" fontId="6" fillId="0" borderId="0"/>
    <xf numFmtId="173" fontId="6" fillId="0" borderId="0" applyFont="0" applyFill="0" applyBorder="0" applyAlignment="0" applyProtection="0"/>
    <xf numFmtId="173" fontId="6" fillId="0" borderId="0"/>
    <xf numFmtId="40" fontId="6" fillId="0" borderId="0"/>
    <xf numFmtId="174" fontId="6" fillId="0" borderId="0"/>
    <xf numFmtId="174" fontId="6" fillId="0" borderId="0" applyFont="0" applyFill="0" applyBorder="0" applyAlignment="0" applyProtection="0"/>
    <xf numFmtId="174" fontId="6" fillId="0" borderId="0"/>
    <xf numFmtId="0" fontId="52" fillId="17" borderId="0" applyNumberFormat="0" applyBorder="0" applyAlignment="0" applyProtection="0"/>
    <xf numFmtId="0" fontId="53" fillId="17" borderId="0" applyNumberFormat="0" applyBorder="0" applyAlignment="0" applyProtection="0"/>
    <xf numFmtId="0" fontId="52" fillId="17" borderId="0" applyNumberFormat="0" applyBorder="0" applyAlignment="0" applyProtection="0"/>
    <xf numFmtId="0" fontId="53" fillId="17" borderId="0" applyNumberFormat="0" applyBorder="0" applyAlignment="0" applyProtection="0"/>
    <xf numFmtId="0" fontId="52" fillId="17" borderId="0" applyNumberFormat="0" applyBorder="0" applyAlignment="0" applyProtection="0"/>
    <xf numFmtId="0" fontId="53" fillId="17"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53" fillId="17" borderId="0" applyNumberFormat="0" applyBorder="0" applyAlignment="0" applyProtection="0"/>
    <xf numFmtId="0" fontId="3" fillId="0" borderId="0"/>
    <xf numFmtId="0" fontId="55" fillId="0" borderId="0"/>
    <xf numFmtId="0" fontId="55" fillId="0" borderId="0"/>
    <xf numFmtId="0" fontId="55" fillId="0" borderId="0"/>
    <xf numFmtId="0" fontId="55" fillId="0" borderId="0"/>
    <xf numFmtId="164" fontId="55" fillId="0" borderId="0"/>
    <xf numFmtId="0" fontId="9" fillId="0" borderId="0"/>
    <xf numFmtId="0" fontId="56" fillId="0" borderId="0"/>
    <xf numFmtId="0" fontId="56" fillId="0" borderId="0"/>
    <xf numFmtId="0" fontId="5" fillId="0" borderId="0"/>
    <xf numFmtId="0" fontId="9" fillId="0" borderId="0"/>
    <xf numFmtId="0" fontId="9" fillId="0" borderId="0"/>
    <xf numFmtId="0" fontId="5" fillId="0" borderId="0"/>
    <xf numFmtId="0" fontId="5" fillId="0" borderId="0"/>
    <xf numFmtId="0" fontId="5" fillId="0" borderId="0"/>
    <xf numFmtId="0" fontId="5" fillId="0" borderId="0"/>
    <xf numFmtId="0" fontId="3" fillId="0" borderId="0"/>
    <xf numFmtId="0" fontId="20" fillId="0" borderId="0"/>
    <xf numFmtId="0" fontId="1" fillId="0" borderId="0"/>
    <xf numFmtId="0" fontId="1" fillId="0" borderId="0"/>
    <xf numFmtId="0" fontId="56" fillId="0" borderId="0"/>
    <xf numFmtId="0" fontId="1" fillId="0" borderId="0"/>
    <xf numFmtId="0" fontId="57" fillId="0" borderId="0"/>
    <xf numFmtId="164"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5" fillId="0" borderId="0"/>
    <xf numFmtId="164" fontId="1" fillId="0" borderId="0"/>
    <xf numFmtId="164" fontId="1" fillId="0" borderId="0"/>
    <xf numFmtId="0" fontId="20" fillId="0" borderId="0"/>
    <xf numFmtId="0" fontId="5" fillId="0" borderId="0"/>
    <xf numFmtId="0" fontId="6" fillId="0" borderId="0"/>
    <xf numFmtId="0" fontId="5" fillId="0" borderId="0"/>
    <xf numFmtId="0" fontId="1"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6"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1" fillId="0" borderId="0"/>
    <xf numFmtId="0" fontId="1" fillId="0" borderId="0"/>
    <xf numFmtId="164" fontId="1" fillId="0" borderId="0"/>
    <xf numFmtId="164" fontId="1" fillId="0" borderId="0"/>
    <xf numFmtId="0" fontId="1" fillId="0" borderId="0"/>
    <xf numFmtId="164" fontId="1" fillId="0" borderId="0"/>
    <xf numFmtId="0" fontId="1" fillId="0" borderId="0"/>
    <xf numFmtId="164" fontId="1" fillId="0" borderId="0"/>
    <xf numFmtId="164" fontId="1" fillId="0" borderId="0"/>
    <xf numFmtId="0" fontId="5" fillId="0" borderId="0"/>
    <xf numFmtId="0" fontId="1"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5"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56" fillId="0" borderId="0"/>
    <xf numFmtId="0" fontId="1" fillId="0" borderId="0"/>
    <xf numFmtId="164" fontId="1" fillId="0" borderId="0"/>
    <xf numFmtId="164" fontId="1" fillId="0" borderId="0"/>
    <xf numFmtId="0" fontId="1" fillId="0" borderId="0"/>
    <xf numFmtId="164" fontId="1" fillId="0" borderId="0"/>
    <xf numFmtId="0" fontId="1" fillId="0" borderId="0"/>
    <xf numFmtId="164" fontId="1" fillId="0" borderId="0"/>
    <xf numFmtId="164" fontId="1" fillId="0" borderId="0"/>
    <xf numFmtId="164" fontId="1" fillId="0" borderId="0"/>
    <xf numFmtId="0" fontId="9" fillId="0" borderId="0"/>
    <xf numFmtId="0" fontId="9" fillId="0" borderId="0"/>
    <xf numFmtId="0" fontId="6" fillId="0" borderId="0"/>
    <xf numFmtId="0" fontId="5" fillId="0" borderId="0"/>
    <xf numFmtId="0" fontId="1" fillId="0" borderId="0"/>
    <xf numFmtId="0" fontId="1" fillId="0" borderId="0"/>
    <xf numFmtId="0" fontId="1" fillId="0" borderId="0"/>
    <xf numFmtId="164" fontId="5" fillId="0" borderId="0"/>
    <xf numFmtId="0" fontId="1" fillId="0" borderId="0"/>
    <xf numFmtId="0" fontId="1" fillId="0" borderId="0"/>
    <xf numFmtId="0" fontId="9" fillId="0" borderId="0"/>
    <xf numFmtId="0" fontId="1" fillId="0" borderId="0"/>
    <xf numFmtId="0" fontId="1" fillId="0" borderId="0"/>
    <xf numFmtId="0" fontId="1" fillId="0" borderId="0"/>
    <xf numFmtId="0" fontId="5" fillId="0" borderId="0"/>
    <xf numFmtId="0" fontId="9" fillId="0" borderId="0"/>
    <xf numFmtId="0" fontId="1" fillId="0" borderId="0"/>
    <xf numFmtId="0" fontId="1" fillId="0" borderId="0"/>
    <xf numFmtId="0" fontId="1" fillId="0" borderId="0"/>
    <xf numFmtId="0" fontId="9" fillId="0" borderId="0"/>
    <xf numFmtId="0" fontId="5" fillId="0" borderId="0"/>
    <xf numFmtId="0" fontId="5" fillId="0" borderId="0"/>
    <xf numFmtId="0" fontId="1"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58" fillId="0" borderId="0"/>
    <xf numFmtId="0" fontId="58" fillId="0" borderId="0"/>
    <xf numFmtId="0" fontId="1" fillId="0" borderId="0"/>
    <xf numFmtId="0" fontId="58"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1" fillId="0" borderId="0"/>
    <xf numFmtId="0" fontId="1" fillId="0" borderId="0"/>
    <xf numFmtId="164" fontId="1" fillId="0" borderId="0"/>
    <xf numFmtId="164" fontId="1" fillId="0" borderId="0"/>
    <xf numFmtId="0" fontId="9" fillId="0" borderId="0"/>
    <xf numFmtId="164" fontId="9" fillId="0" borderId="0"/>
    <xf numFmtId="0" fontId="1" fillId="0" borderId="0"/>
    <xf numFmtId="164" fontId="1" fillId="0" borderId="0"/>
    <xf numFmtId="164" fontId="1" fillId="0" borderId="0"/>
    <xf numFmtId="0" fontId="5" fillId="0" borderId="0"/>
    <xf numFmtId="0" fontId="5" fillId="0" borderId="0"/>
    <xf numFmtId="0" fontId="1" fillId="0" borderId="0"/>
    <xf numFmtId="0" fontId="1" fillId="0" borderId="0"/>
    <xf numFmtId="0" fontId="1" fillId="0" borderId="0"/>
    <xf numFmtId="0" fontId="5"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5" fillId="0" borderId="0"/>
    <xf numFmtId="0" fontId="1"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1" fillId="0" borderId="0"/>
    <xf numFmtId="0" fontId="1" fillId="0" borderId="0"/>
    <xf numFmtId="164" fontId="1" fillId="0" borderId="0"/>
    <xf numFmtId="164" fontId="1" fillId="0" borderId="0"/>
    <xf numFmtId="0" fontId="1" fillId="0" borderId="0"/>
    <xf numFmtId="164" fontId="1" fillId="0" borderId="0"/>
    <xf numFmtId="164" fontId="1" fillId="0" borderId="0"/>
    <xf numFmtId="0" fontId="56" fillId="0" borderId="0"/>
    <xf numFmtId="164" fontId="59" fillId="0" borderId="0"/>
    <xf numFmtId="0" fontId="3" fillId="0" borderId="0"/>
    <xf numFmtId="0" fontId="9" fillId="0" borderId="0"/>
    <xf numFmtId="0" fontId="5" fillId="13" borderId="8" applyNumberFormat="0" applyFont="0" applyAlignment="0" applyProtection="0"/>
    <xf numFmtId="0" fontId="5" fillId="13" borderId="8" applyNumberFormat="0" applyFont="0" applyAlignment="0" applyProtection="0"/>
    <xf numFmtId="164" fontId="60" fillId="30" borderId="0">
      <alignment horizontal="left" vertical="top" wrapText="1" indent="2"/>
    </xf>
    <xf numFmtId="164" fontId="59" fillId="3" borderId="1" applyNumberFormat="0" applyFont="0" applyAlignment="0" applyProtection="0"/>
    <xf numFmtId="0" fontId="5" fillId="13" borderId="8" applyNumberFormat="0" applyFont="0" applyAlignment="0" applyProtection="0"/>
    <xf numFmtId="0" fontId="5" fillId="13" borderId="8" applyNumberFormat="0" applyFont="0" applyAlignment="0" applyProtection="0"/>
    <xf numFmtId="0" fontId="5" fillId="13" borderId="8" applyNumberFormat="0" applyFont="0" applyAlignment="0" applyProtection="0"/>
    <xf numFmtId="164" fontId="60" fillId="30" borderId="0">
      <alignment horizontal="left" vertical="top" wrapText="1" indent="2"/>
    </xf>
    <xf numFmtId="0" fontId="6" fillId="13" borderId="8" applyNumberFormat="0" applyFont="0" applyAlignment="0" applyProtection="0"/>
    <xf numFmtId="0" fontId="6" fillId="13" borderId="8" applyNumberFormat="0" applyFont="0" applyAlignment="0" applyProtection="0"/>
    <xf numFmtId="0" fontId="5" fillId="13" borderId="8" applyNumberFormat="0" applyFont="0" applyAlignment="0" applyProtection="0"/>
    <xf numFmtId="0" fontId="61" fillId="10" borderId="3" applyNumberFormat="0" applyAlignment="0" applyProtection="0"/>
    <xf numFmtId="0" fontId="14" fillId="16" borderId="3" applyNumberFormat="0" applyAlignment="0" applyProtection="0"/>
    <xf numFmtId="0" fontId="61" fillId="10" borderId="3" applyNumberFormat="0" applyAlignment="0" applyProtection="0"/>
    <xf numFmtId="0" fontId="14" fillId="16" borderId="3" applyNumberFormat="0" applyAlignment="0" applyProtection="0"/>
    <xf numFmtId="0" fontId="61" fillId="10" borderId="3" applyNumberFormat="0" applyAlignment="0" applyProtection="0"/>
    <xf numFmtId="0" fontId="14" fillId="16" borderId="3" applyNumberFormat="0" applyAlignment="0" applyProtection="0"/>
    <xf numFmtId="0" fontId="14" fillId="10" borderId="3" applyNumberFormat="0" applyAlignment="0" applyProtection="0"/>
    <xf numFmtId="0" fontId="14" fillId="10" borderId="3" applyNumberFormat="0" applyAlignment="0" applyProtection="0"/>
    <xf numFmtId="9"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33" fillId="6" borderId="0" applyNumberFormat="0" applyBorder="0" applyAlignment="0" applyProtection="0"/>
    <xf numFmtId="0" fontId="17" fillId="5" borderId="0" applyNumberFormat="0" applyBorder="0" applyAlignment="0" applyProtection="0"/>
    <xf numFmtId="0" fontId="14" fillId="16" borderId="3" applyNumberFormat="0" applyAlignment="0" applyProtection="0"/>
    <xf numFmtId="0" fontId="5" fillId="0" borderId="0"/>
    <xf numFmtId="0" fontId="5" fillId="0" borderId="0"/>
    <xf numFmtId="0" fontId="5" fillId="0" borderId="0"/>
    <xf numFmtId="0" fontId="30"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36" fillId="0" borderId="13" applyNumberFormat="0" applyFill="0" applyAlignment="0" applyProtection="0"/>
    <xf numFmtId="0" fontId="39" fillId="0" borderId="15" applyNumberFormat="0" applyFill="0" applyAlignment="0" applyProtection="0"/>
    <xf numFmtId="0" fontId="42" fillId="0" borderId="18" applyNumberFormat="0" applyFill="0" applyAlignment="0" applyProtection="0"/>
    <xf numFmtId="0" fontId="42" fillId="0" borderId="0" applyNumberFormat="0" applyFill="0" applyBorder="0" applyAlignment="0" applyProtection="0"/>
    <xf numFmtId="0" fontId="64" fillId="0" borderId="21" applyNumberFormat="0" applyFill="0" applyAlignment="0" applyProtection="0"/>
    <xf numFmtId="0" fontId="29" fillId="0" borderId="10" applyNumberFormat="0" applyFill="0" applyAlignment="0" applyProtection="0"/>
    <xf numFmtId="0" fontId="64" fillId="0" borderId="21" applyNumberFormat="0" applyFill="0" applyAlignment="0" applyProtection="0"/>
    <xf numFmtId="0" fontId="29" fillId="0" borderId="10" applyNumberFormat="0" applyFill="0" applyAlignment="0" applyProtection="0"/>
    <xf numFmtId="0" fontId="64" fillId="0" borderId="21" applyNumberFormat="0" applyFill="0" applyAlignment="0" applyProtection="0"/>
    <xf numFmtId="0" fontId="29" fillId="0" borderId="10" applyNumberFormat="0" applyFill="0" applyAlignment="0" applyProtection="0"/>
    <xf numFmtId="0" fontId="29" fillId="0" borderId="22" applyNumberFormat="0" applyFill="0" applyAlignment="0" applyProtection="0"/>
    <xf numFmtId="0" fontId="29" fillId="0" borderId="22" applyNumberFormat="0" applyFill="0" applyAlignment="0" applyProtection="0"/>
    <xf numFmtId="0" fontId="63" fillId="0" borderId="0" applyNumberFormat="0" applyFill="0" applyBorder="0" applyAlignment="0" applyProtection="0"/>
    <xf numFmtId="0" fontId="36" fillId="0" borderId="13" applyNumberFormat="0" applyFill="0" applyAlignment="0" applyProtection="0"/>
    <xf numFmtId="0" fontId="39" fillId="0" borderId="15" applyNumberFormat="0" applyFill="0" applyAlignment="0" applyProtection="0"/>
    <xf numFmtId="0" fontId="42" fillId="0" borderId="18" applyNumberFormat="0" applyFill="0" applyAlignment="0" applyProtection="0"/>
    <xf numFmtId="0" fontId="42" fillId="0" borderId="0" applyNumberFormat="0" applyFill="0" applyBorder="0" applyAlignment="0" applyProtection="0"/>
    <xf numFmtId="0" fontId="65" fillId="30" borderId="0">
      <alignment horizontal="left" vertical="top" wrapText="1"/>
    </xf>
    <xf numFmtId="164" fontId="65" fillId="30" borderId="0">
      <alignment horizontal="left" vertical="top" wrapText="1"/>
    </xf>
    <xf numFmtId="0" fontId="25" fillId="28" borderId="7" applyNumberFormat="0" applyAlignment="0" applyProtection="0"/>
    <xf numFmtId="0" fontId="23" fillId="0" borderId="6" applyNumberFormat="0" applyFill="0" applyAlignment="0" applyProtection="0"/>
    <xf numFmtId="175" fontId="5" fillId="0" borderId="0" applyFont="0" applyFill="0" applyBorder="0" applyAlignment="0" applyProtection="0"/>
    <xf numFmtId="176" fontId="5" fillId="0" borderId="0" applyFont="0" applyFill="0" applyBorder="0" applyAlignment="0" applyProtection="0"/>
    <xf numFmtId="0" fontId="15"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5" fillId="28" borderId="7" applyNumberFormat="0" applyAlignment="0" applyProtection="0"/>
    <xf numFmtId="40" fontId="67" fillId="0" borderId="0" applyFont="0" applyFill="0" applyBorder="0" applyAlignment="0" applyProtection="0"/>
    <xf numFmtId="38" fontId="67" fillId="0" borderId="0" applyFont="0" applyFill="0" applyBorder="0" applyAlignment="0" applyProtection="0"/>
    <xf numFmtId="0" fontId="67" fillId="0" borderId="0" applyFont="0" applyFill="0" applyBorder="0" applyAlignment="0" applyProtection="0"/>
    <xf numFmtId="0" fontId="67" fillId="0" borderId="0" applyFont="0" applyFill="0" applyBorder="0" applyAlignment="0" applyProtection="0"/>
    <xf numFmtId="9" fontId="68" fillId="0" borderId="0" applyFont="0" applyFill="0" applyBorder="0" applyAlignment="0" applyProtection="0"/>
    <xf numFmtId="0" fontId="69" fillId="0" borderId="0"/>
    <xf numFmtId="177" fontId="70" fillId="0" borderId="0" applyFont="0" applyFill="0" applyBorder="0" applyAlignment="0" applyProtection="0"/>
    <xf numFmtId="178" fontId="70" fillId="0" borderId="0" applyFont="0" applyFill="0" applyBorder="0" applyAlignment="0" applyProtection="0"/>
    <xf numFmtId="179" fontId="70" fillId="0" borderId="0" applyFont="0" applyFill="0" applyBorder="0" applyAlignment="0" applyProtection="0"/>
    <xf numFmtId="180" fontId="70" fillId="0" borderId="0" applyFont="0" applyFill="0" applyBorder="0" applyAlignment="0" applyProtection="0"/>
    <xf numFmtId="0" fontId="71" fillId="0" borderId="0"/>
    <xf numFmtId="0" fontId="72" fillId="0" borderId="0"/>
    <xf numFmtId="41" fontId="72" fillId="0" borderId="0" applyFont="0" applyFill="0" applyBorder="0" applyAlignment="0" applyProtection="0"/>
    <xf numFmtId="43" fontId="72" fillId="0" borderId="0" applyFont="0" applyFill="0" applyBorder="0" applyAlignment="0" applyProtection="0"/>
    <xf numFmtId="0" fontId="6" fillId="0" borderId="0"/>
    <xf numFmtId="181" fontId="72" fillId="0" borderId="0" applyFont="0" applyFill="0" applyBorder="0" applyAlignment="0" applyProtection="0"/>
    <xf numFmtId="182" fontId="72" fillId="0" borderId="0" applyFont="0" applyFill="0" applyBorder="0" applyAlignment="0" applyProtection="0"/>
    <xf numFmtId="0" fontId="73" fillId="0" borderId="0"/>
    <xf numFmtId="9" fontId="5" fillId="0" borderId="0" applyFont="0" applyFill="0" applyBorder="0" applyAlignment="0" applyProtection="0"/>
    <xf numFmtId="0" fontId="73" fillId="0" borderId="0"/>
    <xf numFmtId="0" fontId="73" fillId="0" borderId="0"/>
    <xf numFmtId="0" fontId="5" fillId="0" borderId="0"/>
    <xf numFmtId="0" fontId="5" fillId="0" borderId="0"/>
    <xf numFmtId="0" fontId="5" fillId="0" borderId="0"/>
  </cellStyleXfs>
  <cellXfs count="236">
    <xf numFmtId="0" fontId="0" fillId="0" borderId="0" xfId="0"/>
    <xf numFmtId="0" fontId="0" fillId="31" borderId="0" xfId="0" applyFill="1" applyBorder="1" applyAlignment="1" applyProtection="1">
      <alignment horizontal="left"/>
      <protection locked="0"/>
    </xf>
    <xf numFmtId="0" fontId="0" fillId="31" borderId="0" xfId="0" applyFill="1" applyBorder="1" applyProtection="1">
      <protection locked="0"/>
    </xf>
    <xf numFmtId="0" fontId="0" fillId="31" borderId="0" xfId="0" applyFill="1" applyBorder="1" applyAlignment="1" applyProtection="1">
      <alignment horizontal="center"/>
      <protection locked="0"/>
    </xf>
    <xf numFmtId="0" fontId="5" fillId="32" borderId="0" xfId="756" applyFont="1" applyFill="1" applyBorder="1" applyAlignment="1" applyProtection="1">
      <alignment horizontal="center" vertical="center"/>
    </xf>
    <xf numFmtId="0" fontId="5" fillId="32" borderId="25" xfId="756" applyFont="1" applyFill="1" applyBorder="1" applyAlignment="1" applyProtection="1">
      <alignment horizontal="center" vertical="center"/>
    </xf>
    <xf numFmtId="0" fontId="0" fillId="31" borderId="0" xfId="0" applyFill="1" applyBorder="1" applyAlignment="1" applyProtection="1">
      <alignment horizontal="right"/>
      <protection locked="0"/>
    </xf>
    <xf numFmtId="0" fontId="76" fillId="31" borderId="0" xfId="0" applyFont="1" applyFill="1" applyBorder="1" applyAlignment="1" applyProtection="1">
      <alignment horizontal="left" vertical="center"/>
      <protection locked="0"/>
    </xf>
    <xf numFmtId="0" fontId="77" fillId="31" borderId="0" xfId="0" applyFont="1" applyFill="1" applyBorder="1" applyAlignment="1" applyProtection="1">
      <alignment horizontal="left" vertical="center"/>
      <protection locked="0"/>
    </xf>
    <xf numFmtId="0" fontId="5" fillId="31" borderId="0" xfId="0" applyFont="1" applyFill="1" applyBorder="1" applyAlignment="1" applyProtection="1">
      <alignment horizontal="left"/>
      <protection locked="0"/>
    </xf>
    <xf numFmtId="0" fontId="5" fillId="31" borderId="0" xfId="0" applyFont="1" applyFill="1" applyBorder="1" applyAlignment="1" applyProtection="1">
      <alignment horizontal="center"/>
      <protection locked="0"/>
    </xf>
    <xf numFmtId="0" fontId="5" fillId="31" borderId="0" xfId="0" applyFont="1" applyFill="1" applyBorder="1" applyProtection="1">
      <protection locked="0"/>
    </xf>
    <xf numFmtId="0" fontId="5" fillId="31" borderId="0" xfId="0" applyFont="1" applyFill="1" applyBorder="1" applyAlignment="1" applyProtection="1">
      <alignment horizontal="left" vertical="center"/>
      <protection locked="0"/>
    </xf>
    <xf numFmtId="0" fontId="5" fillId="31" borderId="0" xfId="0" applyFont="1" applyFill="1" applyBorder="1" applyAlignment="1" applyProtection="1">
      <alignment horizontal="center" vertical="center"/>
      <protection locked="0"/>
    </xf>
    <xf numFmtId="0" fontId="5" fillId="31" borderId="0" xfId="0" applyFont="1" applyFill="1" applyBorder="1" applyAlignment="1" applyProtection="1">
      <alignment vertical="center"/>
      <protection locked="0"/>
    </xf>
    <xf numFmtId="0" fontId="76" fillId="32" borderId="0" xfId="0" applyFont="1" applyFill="1" applyBorder="1" applyAlignment="1" applyProtection="1">
      <alignment horizontal="left" vertical="center"/>
    </xf>
    <xf numFmtId="0" fontId="77" fillId="32" borderId="0" xfId="0" applyFont="1" applyFill="1" applyBorder="1" applyAlignment="1" applyProtection="1">
      <alignment horizontal="left" vertical="center"/>
    </xf>
    <xf numFmtId="0" fontId="5" fillId="32" borderId="0" xfId="0" applyFont="1" applyFill="1" applyBorder="1" applyAlignment="1" applyProtection="1">
      <alignment horizontal="left" vertical="center"/>
    </xf>
    <xf numFmtId="0" fontId="5" fillId="32" borderId="0" xfId="0" applyFont="1" applyFill="1" applyBorder="1" applyAlignment="1" applyProtection="1">
      <alignment horizontal="center" vertical="center"/>
    </xf>
    <xf numFmtId="0" fontId="5" fillId="32" borderId="0" xfId="0" applyFont="1" applyFill="1" applyBorder="1" applyAlignment="1" applyProtection="1">
      <alignment vertical="center"/>
    </xf>
    <xf numFmtId="183" fontId="5" fillId="32" borderId="0" xfId="1" applyNumberFormat="1" applyFont="1" applyFill="1" applyBorder="1" applyAlignment="1" applyProtection="1">
      <alignment horizontal="center" vertical="center"/>
    </xf>
    <xf numFmtId="183" fontId="5" fillId="32" borderId="0" xfId="0" applyNumberFormat="1" applyFont="1" applyFill="1" applyBorder="1" applyAlignment="1" applyProtection="1">
      <alignment horizontal="center" vertical="center"/>
    </xf>
    <xf numFmtId="0" fontId="5" fillId="0" borderId="0" xfId="0" applyFont="1" applyFill="1" applyBorder="1" applyAlignment="1" applyProtection="1">
      <alignment vertical="center"/>
    </xf>
    <xf numFmtId="0" fontId="5" fillId="32" borderId="23" xfId="0" applyFont="1" applyFill="1" applyBorder="1" applyAlignment="1" applyProtection="1">
      <alignment horizontal="left" vertical="center"/>
    </xf>
    <xf numFmtId="0" fontId="5" fillId="32" borderId="26" xfId="0" applyFont="1" applyFill="1" applyBorder="1" applyAlignment="1" applyProtection="1">
      <alignment horizontal="left" vertical="center"/>
    </xf>
    <xf numFmtId="0" fontId="5" fillId="32" borderId="24" xfId="0" applyFont="1" applyFill="1" applyBorder="1" applyAlignment="1" applyProtection="1">
      <alignment vertical="center"/>
    </xf>
    <xf numFmtId="0" fontId="5" fillId="32" borderId="27" xfId="0" applyFont="1" applyFill="1" applyBorder="1" applyAlignment="1" applyProtection="1">
      <alignment horizontal="left" vertical="center"/>
    </xf>
    <xf numFmtId="0" fontId="5" fillId="32" borderId="25" xfId="0" applyFont="1" applyFill="1" applyBorder="1" applyAlignment="1" applyProtection="1">
      <alignment vertical="center"/>
    </xf>
    <xf numFmtId="0" fontId="5" fillId="0" borderId="25" xfId="0" applyFont="1" applyFill="1" applyBorder="1" applyAlignment="1" applyProtection="1">
      <alignment horizontal="center" vertical="center"/>
    </xf>
    <xf numFmtId="0" fontId="5" fillId="0" borderId="30" xfId="0" applyFont="1" applyFill="1" applyBorder="1" applyAlignment="1" applyProtection="1">
      <alignment horizontal="center" vertical="center"/>
    </xf>
    <xf numFmtId="0" fontId="5" fillId="0" borderId="27" xfId="0" applyFont="1" applyFill="1" applyBorder="1" applyAlignment="1" applyProtection="1">
      <alignment horizontal="center" vertical="center"/>
    </xf>
    <xf numFmtId="0" fontId="5" fillId="32" borderId="27" xfId="0" applyFont="1" applyFill="1" applyBorder="1" applyAlignment="1" applyProtection="1">
      <alignment horizontal="center" vertical="center"/>
    </xf>
    <xf numFmtId="0" fontId="5" fillId="32" borderId="25" xfId="0" applyFont="1" applyFill="1" applyBorder="1" applyAlignment="1" applyProtection="1">
      <alignment horizontal="center" vertical="center"/>
    </xf>
    <xf numFmtId="0" fontId="5" fillId="32" borderId="30" xfId="0" applyFont="1" applyFill="1" applyBorder="1" applyAlignment="1" applyProtection="1">
      <alignment horizontal="center" vertical="center"/>
    </xf>
    <xf numFmtId="0" fontId="5" fillId="0" borderId="29" xfId="0" applyFont="1" applyFill="1" applyBorder="1" applyAlignment="1" applyProtection="1">
      <alignment vertical="center"/>
    </xf>
    <xf numFmtId="183" fontId="5" fillId="0" borderId="26" xfId="0" applyNumberFormat="1" applyFont="1" applyFill="1" applyBorder="1" applyAlignment="1" applyProtection="1">
      <alignment horizontal="center" vertical="center"/>
      <protection locked="0"/>
    </xf>
    <xf numFmtId="183" fontId="5" fillId="0" borderId="24" xfId="0" applyNumberFormat="1" applyFont="1" applyFill="1" applyBorder="1" applyAlignment="1" applyProtection="1">
      <alignment horizontal="center" vertical="center"/>
      <protection locked="0"/>
    </xf>
    <xf numFmtId="183" fontId="5" fillId="0" borderId="28" xfId="0" applyNumberFormat="1" applyFont="1" applyFill="1" applyBorder="1" applyAlignment="1" applyProtection="1">
      <alignment horizontal="center" vertical="center"/>
      <protection locked="0"/>
    </xf>
    <xf numFmtId="184" fontId="5" fillId="0" borderId="23" xfId="0" applyNumberFormat="1" applyFont="1" applyFill="1" applyBorder="1" applyAlignment="1" applyProtection="1">
      <alignment horizontal="center" vertical="center"/>
      <protection locked="0"/>
    </xf>
    <xf numFmtId="184" fontId="5" fillId="32" borderId="0" xfId="0" applyNumberFormat="1" applyFont="1" applyFill="1" applyBorder="1" applyAlignment="1" applyProtection="1">
      <alignment horizontal="center" vertical="center"/>
    </xf>
    <xf numFmtId="184" fontId="5" fillId="32" borderId="24" xfId="756" applyNumberFormat="1" applyFont="1" applyFill="1" applyBorder="1" applyAlignment="1" applyProtection="1">
      <alignment horizontal="center" vertical="center" wrapText="1"/>
    </xf>
    <xf numFmtId="185" fontId="5" fillId="0" borderId="23" xfId="0" applyNumberFormat="1" applyFont="1" applyFill="1" applyBorder="1" applyAlignment="1" applyProtection="1">
      <alignment horizontal="center" vertical="center"/>
      <protection locked="0"/>
    </xf>
    <xf numFmtId="185" fontId="5" fillId="0" borderId="0" xfId="0" applyNumberFormat="1" applyFont="1" applyFill="1" applyBorder="1" applyAlignment="1" applyProtection="1">
      <alignment horizontal="center" vertical="center"/>
      <protection locked="0"/>
    </xf>
    <xf numFmtId="185" fontId="5" fillId="0" borderId="29" xfId="0" applyNumberFormat="1" applyFont="1" applyFill="1" applyBorder="1" applyAlignment="1" applyProtection="1">
      <alignment horizontal="center" vertical="center"/>
      <protection locked="0"/>
    </xf>
    <xf numFmtId="0" fontId="5" fillId="0" borderId="24" xfId="0" applyFont="1" applyFill="1" applyBorder="1" applyAlignment="1" applyProtection="1">
      <alignment vertical="center"/>
    </xf>
    <xf numFmtId="0" fontId="5" fillId="0" borderId="25" xfId="0" applyFont="1" applyFill="1" applyBorder="1" applyAlignment="1" applyProtection="1">
      <alignment vertical="center"/>
    </xf>
    <xf numFmtId="0" fontId="5" fillId="32" borderId="24" xfId="0" applyFont="1" applyFill="1" applyBorder="1" applyAlignment="1" applyProtection="1">
      <alignment horizontal="center" vertical="center"/>
    </xf>
    <xf numFmtId="0" fontId="5" fillId="32" borderId="26" xfId="756" applyFont="1" applyFill="1" applyBorder="1" applyAlignment="1" applyProtection="1">
      <alignment horizontal="center" vertical="center" wrapText="1"/>
    </xf>
    <xf numFmtId="0" fontId="5" fillId="32" borderId="24" xfId="756" applyFont="1" applyFill="1" applyBorder="1" applyAlignment="1" applyProtection="1">
      <alignment horizontal="center" vertical="center"/>
    </xf>
    <xf numFmtId="0" fontId="5" fillId="32" borderId="28" xfId="756" applyFont="1" applyFill="1" applyBorder="1" applyAlignment="1" applyProtection="1">
      <alignment horizontal="center" vertical="center" wrapText="1"/>
    </xf>
    <xf numFmtId="0" fontId="5" fillId="32" borderId="28" xfId="0" applyFont="1" applyFill="1" applyBorder="1" applyAlignment="1" applyProtection="1">
      <alignment horizontal="center" vertical="center"/>
    </xf>
    <xf numFmtId="184" fontId="5" fillId="0" borderId="26" xfId="0" applyNumberFormat="1" applyFont="1" applyFill="1" applyBorder="1" applyAlignment="1" applyProtection="1">
      <alignment horizontal="center" vertical="center"/>
      <protection locked="0"/>
    </xf>
    <xf numFmtId="0" fontId="5" fillId="0" borderId="28" xfId="0" applyFont="1" applyFill="1" applyBorder="1" applyAlignment="1" applyProtection="1">
      <alignment vertical="center"/>
    </xf>
    <xf numFmtId="183" fontId="5" fillId="32" borderId="24" xfId="1" applyNumberFormat="1" applyFont="1" applyFill="1" applyBorder="1" applyAlignment="1" applyProtection="1">
      <alignment horizontal="center" vertical="center"/>
    </xf>
    <xf numFmtId="184" fontId="5" fillId="0" borderId="27" xfId="0" applyNumberFormat="1" applyFont="1" applyFill="1" applyBorder="1" applyAlignment="1" applyProtection="1">
      <alignment horizontal="center" vertical="center"/>
      <protection locked="0"/>
    </xf>
    <xf numFmtId="0" fontId="5" fillId="0" borderId="30" xfId="0" applyFont="1" applyFill="1" applyBorder="1" applyAlignment="1" applyProtection="1">
      <alignment vertical="center"/>
    </xf>
    <xf numFmtId="183" fontId="5" fillId="32" borderId="28" xfId="1" applyNumberFormat="1" applyFont="1" applyFill="1" applyBorder="1" applyAlignment="1" applyProtection="1">
      <alignment horizontal="center" vertical="center"/>
    </xf>
    <xf numFmtId="183" fontId="5" fillId="32" borderId="29" xfId="1" applyNumberFormat="1" applyFont="1" applyFill="1" applyBorder="1" applyAlignment="1" applyProtection="1">
      <alignment horizontal="center" vertical="center"/>
    </xf>
    <xf numFmtId="0" fontId="5" fillId="32" borderId="23" xfId="2" applyFont="1" applyFill="1" applyBorder="1" applyAlignment="1" applyProtection="1">
      <alignment horizontal="left" vertical="center"/>
    </xf>
    <xf numFmtId="183" fontId="5" fillId="32" borderId="25" xfId="0" applyNumberFormat="1" applyFont="1" applyFill="1" applyBorder="1" applyAlignment="1" applyProtection="1">
      <alignment horizontal="center" vertical="center"/>
    </xf>
    <xf numFmtId="183" fontId="5" fillId="32" borderId="29" xfId="0" applyNumberFormat="1" applyFont="1" applyFill="1" applyBorder="1" applyAlignment="1" applyProtection="1">
      <alignment horizontal="center" vertical="center"/>
    </xf>
    <xf numFmtId="183" fontId="5" fillId="32" borderId="30" xfId="0" applyNumberFormat="1" applyFont="1" applyFill="1" applyBorder="1" applyAlignment="1" applyProtection="1">
      <alignment horizontal="center" vertical="center"/>
    </xf>
    <xf numFmtId="10" fontId="5" fillId="32" borderId="0" xfId="0" applyNumberFormat="1" applyFont="1" applyFill="1" applyBorder="1" applyAlignment="1" applyProtection="1">
      <alignment horizontal="center" vertical="center"/>
    </xf>
    <xf numFmtId="0" fontId="5" fillId="32" borderId="23" xfId="0" applyFont="1" applyFill="1" applyBorder="1" applyAlignment="1" applyProtection="1">
      <alignment vertical="center"/>
    </xf>
    <xf numFmtId="0" fontId="5" fillId="32" borderId="26" xfId="0" applyFont="1" applyFill="1" applyBorder="1" applyAlignment="1" applyProtection="1">
      <alignment vertical="center"/>
    </xf>
    <xf numFmtId="0" fontId="5" fillId="32" borderId="27" xfId="0" applyFont="1" applyFill="1" applyBorder="1" applyAlignment="1" applyProtection="1">
      <alignment vertical="center"/>
    </xf>
    <xf numFmtId="183" fontId="5" fillId="32" borderId="24" xfId="0" applyNumberFormat="1" applyFont="1" applyFill="1" applyBorder="1" applyAlignment="1" applyProtection="1">
      <alignment horizontal="center" vertical="center"/>
    </xf>
    <xf numFmtId="183" fontId="5" fillId="32" borderId="28" xfId="0" applyNumberFormat="1" applyFont="1" applyFill="1" applyBorder="1" applyAlignment="1" applyProtection="1">
      <alignment horizontal="center" vertical="center"/>
    </xf>
    <xf numFmtId="0" fontId="0" fillId="0" borderId="31" xfId="0" applyBorder="1"/>
    <xf numFmtId="14" fontId="0" fillId="0" borderId="31" xfId="0" applyNumberFormat="1" applyBorder="1"/>
    <xf numFmtId="0" fontId="79" fillId="0" borderId="31" xfId="0" applyFont="1" applyBorder="1"/>
    <xf numFmtId="0" fontId="80" fillId="33" borderId="32" xfId="0" applyFont="1" applyFill="1" applyBorder="1" applyAlignment="1">
      <alignment horizontal="left" vertical="center" wrapText="1"/>
    </xf>
    <xf numFmtId="0" fontId="80" fillId="33" borderId="33" xfId="0" applyFont="1" applyFill="1" applyBorder="1" applyAlignment="1">
      <alignment horizontal="left" vertical="center" wrapText="1"/>
    </xf>
    <xf numFmtId="0" fontId="80" fillId="33" borderId="34" xfId="0" applyFont="1" applyFill="1" applyBorder="1" applyAlignment="1">
      <alignment horizontal="justify" vertical="center" wrapText="1"/>
    </xf>
    <xf numFmtId="0" fontId="3" fillId="34" borderId="35" xfId="0" applyFont="1" applyFill="1" applyBorder="1" applyAlignment="1">
      <alignment horizontal="justify" vertical="center" wrapText="1"/>
    </xf>
    <xf numFmtId="0" fontId="3" fillId="35" borderId="35" xfId="0" applyFont="1" applyFill="1" applyBorder="1" applyAlignment="1">
      <alignment horizontal="justify" vertical="center" wrapText="1"/>
    </xf>
    <xf numFmtId="0" fontId="0" fillId="36" borderId="0" xfId="0" applyFill="1"/>
    <xf numFmtId="0" fontId="80" fillId="0" borderId="0" xfId="0" applyFont="1" applyFill="1" applyBorder="1" applyAlignment="1">
      <alignment horizontal="justify" vertical="center" wrapText="1"/>
    </xf>
    <xf numFmtId="0" fontId="5" fillId="0" borderId="0" xfId="0" applyFont="1" applyFill="1" applyBorder="1" applyAlignment="1" applyProtection="1">
      <alignment horizontal="center" vertical="center"/>
    </xf>
    <xf numFmtId="0" fontId="5" fillId="0" borderId="0" xfId="0" applyFont="1" applyFill="1" applyBorder="1" applyAlignment="1">
      <alignment horizontal="center" vertical="center" wrapText="1"/>
    </xf>
    <xf numFmtId="186" fontId="0" fillId="0" borderId="0" xfId="0" applyNumberFormat="1"/>
    <xf numFmtId="2" fontId="0" fillId="0" borderId="0" xfId="0" applyNumberFormat="1"/>
    <xf numFmtId="0" fontId="3" fillId="0" borderId="0" xfId="0" applyFont="1" applyFill="1" applyBorder="1" applyAlignment="1">
      <alignment horizontal="justify" vertical="center" wrapText="1"/>
    </xf>
    <xf numFmtId="187" fontId="0" fillId="0" borderId="0" xfId="0" applyNumberFormat="1"/>
    <xf numFmtId="183" fontId="0" fillId="0" borderId="0" xfId="0" applyNumberFormat="1"/>
    <xf numFmtId="2" fontId="0" fillId="36" borderId="0" xfId="0" applyNumberFormat="1" applyFill="1"/>
    <xf numFmtId="0" fontId="76" fillId="0" borderId="0" xfId="0" applyFont="1" applyFill="1" applyBorder="1" applyAlignment="1" applyProtection="1">
      <alignment horizontal="left" vertical="center"/>
    </xf>
    <xf numFmtId="0" fontId="77" fillId="0" borderId="0" xfId="0" applyFont="1" applyFill="1" applyBorder="1" applyAlignment="1" applyProtection="1">
      <alignment horizontal="left" vertical="center"/>
    </xf>
    <xf numFmtId="0" fontId="5" fillId="0" borderId="24" xfId="0" applyFont="1" applyFill="1" applyBorder="1" applyAlignment="1" applyProtection="1">
      <alignment horizontal="center" vertical="center"/>
    </xf>
    <xf numFmtId="0" fontId="5" fillId="0" borderId="28" xfId="0" applyFont="1" applyFill="1" applyBorder="1" applyAlignment="1" applyProtection="1">
      <alignment horizontal="center" vertical="center"/>
    </xf>
    <xf numFmtId="9" fontId="0" fillId="0" borderId="0" xfId="0" applyNumberFormat="1"/>
    <xf numFmtId="183" fontId="5" fillId="37" borderId="0" xfId="1" applyNumberFormat="1" applyFont="1" applyFill="1" applyBorder="1" applyAlignment="1" applyProtection="1">
      <alignment horizontal="center" vertic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87" fontId="0" fillId="36" borderId="0" xfId="0" applyNumberFormat="1" applyFill="1"/>
    <xf numFmtId="0" fontId="3" fillId="0" borderId="0" xfId="0" applyFont="1" applyFill="1" applyBorder="1" applyAlignment="1">
      <alignment horizontal="right" vertical="center" wrapText="1"/>
    </xf>
    <xf numFmtId="0" fontId="5" fillId="37" borderId="23" xfId="0" applyFont="1" applyFill="1" applyBorder="1" applyAlignment="1" applyProtection="1">
      <alignment horizontal="left" vertical="center"/>
    </xf>
    <xf numFmtId="184" fontId="5" fillId="37" borderId="23" xfId="0" applyNumberFormat="1" applyFont="1" applyFill="1" applyBorder="1" applyAlignment="1" applyProtection="1">
      <alignment horizontal="center" vertical="center"/>
      <protection locked="0"/>
    </xf>
    <xf numFmtId="0" fontId="5" fillId="37" borderId="0" xfId="0" applyFont="1" applyFill="1" applyBorder="1" applyAlignment="1" applyProtection="1">
      <alignment vertical="center"/>
    </xf>
    <xf numFmtId="0" fontId="5" fillId="37" borderId="29" xfId="0" applyFont="1" applyFill="1" applyBorder="1" applyAlignment="1" applyProtection="1">
      <alignment vertical="center"/>
    </xf>
    <xf numFmtId="183" fontId="5" fillId="37" borderId="29" xfId="1" applyNumberFormat="1" applyFont="1" applyFill="1" applyBorder="1" applyAlignment="1" applyProtection="1">
      <alignment horizontal="center" vertical="center"/>
    </xf>
    <xf numFmtId="183" fontId="0" fillId="38" borderId="0" xfId="0" applyNumberFormat="1" applyFill="1"/>
    <xf numFmtId="0" fontId="5" fillId="31" borderId="0" xfId="0" applyFont="1" applyFill="1" applyBorder="1" applyAlignment="1" applyProtection="1">
      <alignment vertical="center"/>
      <protection locked="0"/>
    </xf>
    <xf numFmtId="0" fontId="5" fillId="32" borderId="0" xfId="0" applyFont="1" applyFill="1" applyBorder="1" applyAlignment="1" applyProtection="1">
      <alignment horizontal="center" vertical="center"/>
    </xf>
    <xf numFmtId="184" fontId="5" fillId="0" borderId="36" xfId="0" applyNumberFormat="1" applyFont="1" applyFill="1" applyBorder="1" applyAlignment="1" applyProtection="1">
      <alignment horizontal="center" vertical="center"/>
      <protection locked="0"/>
    </xf>
    <xf numFmtId="0" fontId="5" fillId="0" borderId="2" xfId="0" applyFont="1" applyFill="1" applyBorder="1" applyAlignment="1" applyProtection="1">
      <alignment vertical="center"/>
    </xf>
    <xf numFmtId="0" fontId="5" fillId="0" borderId="37" xfId="0" applyFont="1" applyFill="1" applyBorder="1" applyAlignment="1" applyProtection="1">
      <alignment vertical="center"/>
    </xf>
    <xf numFmtId="183" fontId="5" fillId="32" borderId="2" xfId="0" applyNumberFormat="1" applyFont="1" applyFill="1" applyBorder="1" applyAlignment="1" applyProtection="1">
      <alignment horizontal="center" vertical="center"/>
    </xf>
    <xf numFmtId="183" fontId="5" fillId="32" borderId="37" xfId="0" applyNumberFormat="1" applyFont="1" applyFill="1" applyBorder="1" applyAlignment="1" applyProtection="1">
      <alignment horizontal="center" vertical="center"/>
    </xf>
    <xf numFmtId="0" fontId="5" fillId="0" borderId="25" xfId="0" applyFont="1" applyFill="1" applyBorder="1" applyAlignment="1" applyProtection="1">
      <alignment vertical="center"/>
    </xf>
    <xf numFmtId="184" fontId="5" fillId="0" borderId="27" xfId="0" applyNumberFormat="1" applyFont="1" applyFill="1" applyBorder="1" applyAlignment="1" applyProtection="1">
      <alignment horizontal="center" vertical="center"/>
      <protection locked="0"/>
    </xf>
    <xf numFmtId="0" fontId="5" fillId="0" borderId="30" xfId="0" applyFont="1" applyFill="1" applyBorder="1" applyAlignment="1" applyProtection="1">
      <alignment vertical="center"/>
    </xf>
    <xf numFmtId="183" fontId="5" fillId="32" borderId="25" xfId="0" applyNumberFormat="1" applyFont="1" applyFill="1" applyBorder="1" applyAlignment="1" applyProtection="1">
      <alignment horizontal="center" vertical="center"/>
    </xf>
    <xf numFmtId="183" fontId="5" fillId="32" borderId="30" xfId="0" applyNumberFormat="1" applyFont="1" applyFill="1" applyBorder="1" applyAlignment="1" applyProtection="1">
      <alignment horizontal="center" vertical="center"/>
    </xf>
    <xf numFmtId="0" fontId="0" fillId="0" borderId="0" xfId="0"/>
    <xf numFmtId="184" fontId="5" fillId="0" borderId="36" xfId="0" applyNumberFormat="1" applyFont="1" applyFill="1" applyBorder="1" applyAlignment="1" applyProtection="1">
      <alignment horizontal="center" vertical="center"/>
      <protection locked="0"/>
    </xf>
    <xf numFmtId="0" fontId="5" fillId="0" borderId="2" xfId="0" applyFont="1" applyFill="1" applyBorder="1" applyAlignment="1" applyProtection="1">
      <alignment vertical="center"/>
    </xf>
    <xf numFmtId="0" fontId="5" fillId="0" borderId="37" xfId="0" applyFont="1" applyFill="1" applyBorder="1" applyAlignment="1" applyProtection="1">
      <alignment vertical="center"/>
    </xf>
    <xf numFmtId="183" fontId="5" fillId="32" borderId="2" xfId="0" applyNumberFormat="1" applyFont="1" applyFill="1" applyBorder="1" applyAlignment="1" applyProtection="1">
      <alignment horizontal="center" vertical="center"/>
    </xf>
    <xf numFmtId="183" fontId="5" fillId="32" borderId="37" xfId="0" applyNumberFormat="1" applyFont="1" applyFill="1" applyBorder="1" applyAlignment="1" applyProtection="1">
      <alignment horizontal="center" vertical="center"/>
    </xf>
    <xf numFmtId="0" fontId="0" fillId="0" borderId="0" xfId="0" applyFill="1" applyBorder="1"/>
    <xf numFmtId="0" fontId="5" fillId="37" borderId="0" xfId="2" applyFont="1" applyFill="1" applyBorder="1" applyAlignment="1" applyProtection="1">
      <alignment horizontal="left" vertical="center"/>
    </xf>
    <xf numFmtId="0" fontId="5" fillId="36" borderId="0" xfId="2" applyFont="1" applyFill="1" applyBorder="1" applyAlignment="1" applyProtection="1">
      <alignment horizontal="left" vertical="center"/>
    </xf>
    <xf numFmtId="2" fontId="0" fillId="36" borderId="0" xfId="0" applyNumberFormat="1" applyFill="1" applyBorder="1"/>
    <xf numFmtId="0" fontId="5" fillId="37" borderId="0" xfId="0" applyFont="1" applyFill="1" applyBorder="1" applyAlignment="1" applyProtection="1">
      <alignment horizontal="left" vertical="center"/>
    </xf>
    <xf numFmtId="0" fontId="0" fillId="37" borderId="0" xfId="0" applyFill="1" applyBorder="1"/>
    <xf numFmtId="0" fontId="0" fillId="36" borderId="0" xfId="0" applyFill="1" applyBorder="1"/>
    <xf numFmtId="0" fontId="5" fillId="36" borderId="0" xfId="0" applyFont="1" applyFill="1" applyBorder="1" applyAlignment="1" applyProtection="1">
      <alignment horizontal="left" vertical="center"/>
    </xf>
    <xf numFmtId="0" fontId="76" fillId="0" borderId="0" xfId="0" applyFont="1" applyFill="1" applyBorder="1" applyAlignment="1" applyProtection="1">
      <alignment horizontal="left" vertical="center" wrapText="1"/>
    </xf>
    <xf numFmtId="0" fontId="5" fillId="37" borderId="26" xfId="0" applyFont="1" applyFill="1" applyBorder="1" applyAlignment="1" applyProtection="1">
      <alignment horizontal="left" vertical="center"/>
    </xf>
    <xf numFmtId="0" fontId="5" fillId="37" borderId="27" xfId="0" applyFont="1" applyFill="1" applyBorder="1" applyAlignment="1" applyProtection="1">
      <alignment horizontal="left" vertical="center"/>
    </xf>
    <xf numFmtId="0" fontId="5" fillId="37" borderId="23" xfId="2" applyFont="1" applyFill="1" applyBorder="1" applyAlignment="1" applyProtection="1">
      <alignment horizontal="left" vertical="center"/>
    </xf>
    <xf numFmtId="0" fontId="0" fillId="0" borderId="0" xfId="0"/>
    <xf numFmtId="0" fontId="0" fillId="31" borderId="0" xfId="0" applyFill="1" applyBorder="1" applyProtection="1">
      <protection locked="0"/>
    </xf>
    <xf numFmtId="0" fontId="0" fillId="31" borderId="0" xfId="0" applyFill="1" applyBorder="1" applyAlignment="1" applyProtection="1">
      <alignment horizontal="center"/>
      <protection locked="0"/>
    </xf>
    <xf numFmtId="0" fontId="5" fillId="32" borderId="0" xfId="759" applyFont="1" applyFill="1" applyBorder="1" applyAlignment="1" applyProtection="1">
      <alignment horizontal="center" vertical="center"/>
    </xf>
    <xf numFmtId="0" fontId="5" fillId="32" borderId="25" xfId="759" applyFont="1" applyFill="1" applyBorder="1" applyAlignment="1" applyProtection="1">
      <alignment horizontal="center" vertical="center"/>
    </xf>
    <xf numFmtId="0" fontId="76" fillId="31" borderId="0" xfId="0" applyFont="1" applyFill="1" applyBorder="1" applyAlignment="1" applyProtection="1">
      <alignment horizontal="left" vertical="center"/>
      <protection locked="0"/>
    </xf>
    <xf numFmtId="0" fontId="77" fillId="31" borderId="0" xfId="0" applyFont="1" applyFill="1" applyBorder="1" applyAlignment="1" applyProtection="1">
      <alignment horizontal="left" vertical="center"/>
      <protection locked="0"/>
    </xf>
    <xf numFmtId="0" fontId="5" fillId="31" borderId="0" xfId="0" applyFont="1" applyFill="1" applyBorder="1" applyAlignment="1" applyProtection="1">
      <alignment horizontal="center"/>
      <protection locked="0"/>
    </xf>
    <xf numFmtId="0" fontId="5" fillId="31" borderId="0" xfId="0" applyFont="1" applyFill="1" applyBorder="1" applyProtection="1">
      <protection locked="0"/>
    </xf>
    <xf numFmtId="0" fontId="5" fillId="31" borderId="0" xfId="0" applyFont="1" applyFill="1" applyBorder="1" applyAlignment="1" applyProtection="1">
      <alignment horizontal="center" vertical="center"/>
      <protection locked="0"/>
    </xf>
    <xf numFmtId="0" fontId="5" fillId="31" borderId="0" xfId="0" applyFont="1" applyFill="1" applyBorder="1" applyAlignment="1" applyProtection="1">
      <alignment vertical="center"/>
      <protection locked="0"/>
    </xf>
    <xf numFmtId="0" fontId="76" fillId="32" borderId="0" xfId="0" applyFont="1" applyFill="1" applyBorder="1" applyAlignment="1" applyProtection="1">
      <alignment horizontal="left" vertical="center"/>
    </xf>
    <xf numFmtId="0" fontId="77" fillId="32" borderId="0" xfId="0" applyFont="1" applyFill="1" applyBorder="1" applyAlignment="1" applyProtection="1">
      <alignment horizontal="left" vertical="center"/>
    </xf>
    <xf numFmtId="0" fontId="5" fillId="32" borderId="0" xfId="0" applyFont="1" applyFill="1" applyBorder="1" applyAlignment="1" applyProtection="1">
      <alignment horizontal="left" vertical="center"/>
    </xf>
    <xf numFmtId="0" fontId="5" fillId="32" borderId="0" xfId="0" applyFont="1" applyFill="1" applyBorder="1" applyAlignment="1" applyProtection="1">
      <alignment horizontal="center" vertical="center"/>
    </xf>
    <xf numFmtId="0" fontId="5" fillId="32" borderId="0" xfId="0" applyFont="1" applyFill="1" applyBorder="1" applyAlignment="1" applyProtection="1">
      <alignment vertical="center"/>
    </xf>
    <xf numFmtId="183" fontId="5" fillId="32" borderId="0" xfId="1" applyNumberFormat="1" applyFont="1" applyFill="1" applyBorder="1" applyAlignment="1" applyProtection="1">
      <alignment horizontal="center" vertical="center"/>
    </xf>
    <xf numFmtId="183" fontId="5" fillId="32" borderId="0" xfId="0" applyNumberFormat="1" applyFont="1" applyFill="1" applyBorder="1" applyAlignment="1" applyProtection="1">
      <alignment horizontal="center" vertical="center"/>
    </xf>
    <xf numFmtId="0" fontId="5" fillId="0" borderId="0" xfId="0" applyFont="1" applyFill="1" applyBorder="1" applyAlignment="1" applyProtection="1">
      <alignment vertical="center"/>
    </xf>
    <xf numFmtId="0" fontId="5" fillId="32" borderId="23" xfId="0" applyFont="1" applyFill="1" applyBorder="1" applyAlignment="1" applyProtection="1">
      <alignment horizontal="left" vertical="center"/>
    </xf>
    <xf numFmtId="0" fontId="5" fillId="32" borderId="26" xfId="0" applyFont="1" applyFill="1" applyBorder="1" applyAlignment="1" applyProtection="1">
      <alignment horizontal="left" vertical="center"/>
    </xf>
    <xf numFmtId="0" fontId="5" fillId="32" borderId="24" xfId="0" applyFont="1" applyFill="1" applyBorder="1" applyAlignment="1" applyProtection="1">
      <alignment vertical="center"/>
    </xf>
    <xf numFmtId="0" fontId="5" fillId="32" borderId="27" xfId="0" applyFont="1" applyFill="1" applyBorder="1" applyAlignment="1" applyProtection="1">
      <alignment horizontal="left" vertical="center"/>
    </xf>
    <xf numFmtId="0" fontId="5" fillId="32" borderId="25" xfId="0" applyFont="1" applyFill="1" applyBorder="1" applyAlignment="1" applyProtection="1">
      <alignment vertical="center"/>
    </xf>
    <xf numFmtId="0" fontId="5" fillId="0" borderId="25" xfId="0" applyFont="1" applyFill="1" applyBorder="1" applyAlignment="1" applyProtection="1">
      <alignment horizontal="center" vertical="center"/>
    </xf>
    <xf numFmtId="0" fontId="5" fillId="0" borderId="30" xfId="0" applyFont="1" applyFill="1" applyBorder="1" applyAlignment="1" applyProtection="1">
      <alignment horizontal="center" vertical="center"/>
    </xf>
    <xf numFmtId="0" fontId="5" fillId="0" borderId="27" xfId="0" applyFont="1" applyFill="1" applyBorder="1" applyAlignment="1" applyProtection="1">
      <alignment horizontal="center" vertical="center"/>
    </xf>
    <xf numFmtId="0" fontId="5" fillId="32" borderId="27" xfId="0" applyFont="1" applyFill="1" applyBorder="1" applyAlignment="1" applyProtection="1">
      <alignment horizontal="center" vertical="center"/>
    </xf>
    <xf numFmtId="0" fontId="5" fillId="32" borderId="25" xfId="0" applyFont="1" applyFill="1" applyBorder="1" applyAlignment="1" applyProtection="1">
      <alignment horizontal="center" vertical="center"/>
    </xf>
    <xf numFmtId="0" fontId="5" fillId="32" borderId="30" xfId="0" applyFont="1" applyFill="1" applyBorder="1" applyAlignment="1" applyProtection="1">
      <alignment horizontal="center" vertical="center"/>
    </xf>
    <xf numFmtId="0" fontId="5" fillId="0" borderId="29" xfId="0" applyFont="1" applyFill="1" applyBorder="1" applyAlignment="1" applyProtection="1">
      <alignment vertical="center"/>
    </xf>
    <xf numFmtId="183" fontId="5" fillId="0" borderId="26" xfId="0" applyNumberFormat="1" applyFont="1" applyFill="1" applyBorder="1" applyAlignment="1" applyProtection="1">
      <alignment horizontal="center" vertical="center"/>
      <protection locked="0"/>
    </xf>
    <xf numFmtId="183" fontId="5" fillId="0" borderId="24" xfId="0" applyNumberFormat="1" applyFont="1" applyFill="1" applyBorder="1" applyAlignment="1" applyProtection="1">
      <alignment horizontal="center" vertical="center"/>
      <protection locked="0"/>
    </xf>
    <xf numFmtId="183" fontId="5" fillId="0" borderId="28" xfId="0" applyNumberFormat="1" applyFont="1" applyFill="1" applyBorder="1" applyAlignment="1" applyProtection="1">
      <alignment horizontal="center" vertical="center"/>
      <protection locked="0"/>
    </xf>
    <xf numFmtId="184" fontId="5" fillId="0" borderId="23" xfId="0" applyNumberFormat="1" applyFont="1" applyFill="1" applyBorder="1" applyAlignment="1" applyProtection="1">
      <alignment horizontal="center" vertical="center"/>
      <protection locked="0"/>
    </xf>
    <xf numFmtId="184" fontId="5" fillId="32" borderId="0" xfId="0" applyNumberFormat="1" applyFont="1" applyFill="1" applyBorder="1" applyAlignment="1" applyProtection="1">
      <alignment horizontal="center" vertical="center"/>
    </xf>
    <xf numFmtId="184" fontId="5" fillId="32" borderId="24" xfId="759" applyNumberFormat="1" applyFont="1" applyFill="1" applyBorder="1" applyAlignment="1" applyProtection="1">
      <alignment horizontal="center" vertical="center" wrapText="1"/>
    </xf>
    <xf numFmtId="185" fontId="5" fillId="0" borderId="23" xfId="0" applyNumberFormat="1" applyFont="1" applyFill="1" applyBorder="1" applyAlignment="1" applyProtection="1">
      <alignment horizontal="center" vertical="center"/>
      <protection locked="0"/>
    </xf>
    <xf numFmtId="185" fontId="5" fillId="0" borderId="0" xfId="0" applyNumberFormat="1" applyFont="1" applyFill="1" applyBorder="1" applyAlignment="1" applyProtection="1">
      <alignment horizontal="center" vertical="center"/>
      <protection locked="0"/>
    </xf>
    <xf numFmtId="185" fontId="5" fillId="0" borderId="29" xfId="0" applyNumberFormat="1" applyFont="1" applyFill="1" applyBorder="1" applyAlignment="1" applyProtection="1">
      <alignment horizontal="center" vertical="center"/>
      <protection locked="0"/>
    </xf>
    <xf numFmtId="0" fontId="5" fillId="0" borderId="24" xfId="0" applyFont="1" applyFill="1" applyBorder="1" applyAlignment="1" applyProtection="1">
      <alignment vertical="center"/>
    </xf>
    <xf numFmtId="0" fontId="5" fillId="0" borderId="25" xfId="0" applyFont="1" applyFill="1" applyBorder="1" applyAlignment="1" applyProtection="1">
      <alignment vertical="center"/>
    </xf>
    <xf numFmtId="0" fontId="5" fillId="32" borderId="24" xfId="0" applyFont="1" applyFill="1" applyBorder="1" applyAlignment="1" applyProtection="1">
      <alignment horizontal="center" vertical="center"/>
    </xf>
    <xf numFmtId="0" fontId="5" fillId="32" borderId="26" xfId="759" applyFont="1" applyFill="1" applyBorder="1" applyAlignment="1" applyProtection="1">
      <alignment horizontal="center" vertical="center" wrapText="1"/>
    </xf>
    <xf numFmtId="0" fontId="5" fillId="32" borderId="24" xfId="759" applyFont="1" applyFill="1" applyBorder="1" applyAlignment="1" applyProtection="1">
      <alignment horizontal="center" vertical="center"/>
    </xf>
    <xf numFmtId="0" fontId="5" fillId="32" borderId="28" xfId="759" applyFont="1" applyFill="1" applyBorder="1" applyAlignment="1" applyProtection="1">
      <alignment horizontal="center" vertical="center" wrapText="1"/>
    </xf>
    <xf numFmtId="184" fontId="5" fillId="0" borderId="26" xfId="0" applyNumberFormat="1" applyFont="1" applyFill="1" applyBorder="1" applyAlignment="1" applyProtection="1">
      <alignment horizontal="center" vertical="center"/>
      <protection locked="0"/>
    </xf>
    <xf numFmtId="0" fontId="5" fillId="0" borderId="28" xfId="0" applyFont="1" applyFill="1" applyBorder="1" applyAlignment="1" applyProtection="1">
      <alignment vertical="center"/>
    </xf>
    <xf numFmtId="183" fontId="5" fillId="32" borderId="24" xfId="1" applyNumberFormat="1" applyFont="1" applyFill="1" applyBorder="1" applyAlignment="1" applyProtection="1">
      <alignment horizontal="center" vertical="center"/>
    </xf>
    <xf numFmtId="184" fontId="5" fillId="0" borderId="27" xfId="0" applyNumberFormat="1" applyFont="1" applyFill="1" applyBorder="1" applyAlignment="1" applyProtection="1">
      <alignment horizontal="center" vertical="center"/>
      <protection locked="0"/>
    </xf>
    <xf numFmtId="0" fontId="5" fillId="0" borderId="30" xfId="0" applyFont="1" applyFill="1" applyBorder="1" applyAlignment="1" applyProtection="1">
      <alignment vertical="center"/>
    </xf>
    <xf numFmtId="0" fontId="5" fillId="36" borderId="26" xfId="0" applyFont="1" applyFill="1" applyBorder="1" applyAlignment="1" applyProtection="1">
      <alignment horizontal="left" vertical="center"/>
    </xf>
    <xf numFmtId="184" fontId="5" fillId="36" borderId="23" xfId="0" applyNumberFormat="1" applyFont="1" applyFill="1" applyBorder="1" applyAlignment="1" applyProtection="1">
      <alignment horizontal="center" vertical="center"/>
      <protection locked="0"/>
    </xf>
    <xf numFmtId="0" fontId="5" fillId="36" borderId="24" xfId="0" applyFont="1" applyFill="1" applyBorder="1" applyAlignment="1" applyProtection="1">
      <alignment vertical="center"/>
    </xf>
    <xf numFmtId="0" fontId="5" fillId="36" borderId="28" xfId="0" applyFont="1" applyFill="1" applyBorder="1" applyAlignment="1" applyProtection="1">
      <alignment vertical="center"/>
    </xf>
    <xf numFmtId="183" fontId="5" fillId="36" borderId="24" xfId="1" applyNumberFormat="1" applyFont="1" applyFill="1" applyBorder="1" applyAlignment="1" applyProtection="1">
      <alignment horizontal="center" vertical="center"/>
    </xf>
    <xf numFmtId="0" fontId="0" fillId="36" borderId="0" xfId="0" applyFill="1"/>
    <xf numFmtId="0" fontId="5" fillId="36" borderId="23" xfId="0" applyFont="1" applyFill="1" applyBorder="1" applyAlignment="1" applyProtection="1">
      <alignment horizontal="left" vertical="center"/>
    </xf>
    <xf numFmtId="0" fontId="5" fillId="36" borderId="0" xfId="0" applyFont="1" applyFill="1" applyBorder="1" applyAlignment="1" applyProtection="1">
      <alignment vertical="center"/>
    </xf>
    <xf numFmtId="0" fontId="5" fillId="36" borderId="29" xfId="0" applyFont="1" applyFill="1" applyBorder="1" applyAlignment="1" applyProtection="1">
      <alignment vertical="center"/>
    </xf>
    <xf numFmtId="183" fontId="5" fillId="36" borderId="0" xfId="1" applyNumberFormat="1" applyFont="1" applyFill="1" applyBorder="1" applyAlignment="1" applyProtection="1">
      <alignment horizontal="center" vertical="center"/>
    </xf>
    <xf numFmtId="0" fontId="5" fillId="0" borderId="0" xfId="0" applyFont="1" applyFill="1" applyBorder="1" applyAlignment="1" applyProtection="1">
      <alignment horizontal="center" vertical="center"/>
    </xf>
    <xf numFmtId="2" fontId="0" fillId="0" borderId="0" xfId="0" applyNumberFormat="1"/>
    <xf numFmtId="183" fontId="5" fillId="36" borderId="0" xfId="0" applyNumberFormat="1" applyFont="1" applyFill="1" applyBorder="1" applyAlignment="1" applyProtection="1">
      <alignment horizontal="center" vertical="center"/>
    </xf>
    <xf numFmtId="0" fontId="5" fillId="36" borderId="27" xfId="0" applyFont="1" applyFill="1" applyBorder="1" applyAlignment="1" applyProtection="1">
      <alignment horizontal="left" vertical="center"/>
    </xf>
    <xf numFmtId="0" fontId="5" fillId="36" borderId="25" xfId="0" applyFont="1" applyFill="1" applyBorder="1" applyAlignment="1" applyProtection="1">
      <alignment vertical="center"/>
    </xf>
    <xf numFmtId="0" fontId="5" fillId="36" borderId="30" xfId="0" applyFont="1" applyFill="1" applyBorder="1" applyAlignment="1" applyProtection="1">
      <alignment vertical="center"/>
    </xf>
    <xf numFmtId="183" fontId="5" fillId="36" borderId="25" xfId="0" applyNumberFormat="1" applyFont="1" applyFill="1" applyBorder="1" applyAlignment="1" applyProtection="1">
      <alignment horizontal="center" vertical="center"/>
    </xf>
    <xf numFmtId="183" fontId="5" fillId="0" borderId="0" xfId="1" applyNumberFormat="1" applyFont="1" applyFill="1" applyBorder="1" applyAlignment="1" applyProtection="1">
      <alignment horizontal="center" vertical="center"/>
    </xf>
    <xf numFmtId="183" fontId="5" fillId="0" borderId="29" xfId="1" applyNumberFormat="1" applyFont="1" applyFill="1" applyBorder="1" applyAlignment="1" applyProtection="1">
      <alignment horizontal="center" vertical="center"/>
    </xf>
    <xf numFmtId="0" fontId="0" fillId="0" borderId="0" xfId="0" applyFill="1"/>
    <xf numFmtId="184" fontId="5" fillId="36" borderId="26" xfId="0" applyNumberFormat="1" applyFont="1" applyFill="1" applyBorder="1" applyAlignment="1" applyProtection="1">
      <alignment horizontal="center" vertical="center"/>
      <protection locked="0"/>
    </xf>
    <xf numFmtId="183" fontId="0" fillId="0" borderId="0" xfId="0" applyNumberFormat="1"/>
    <xf numFmtId="2" fontId="0" fillId="36" borderId="0" xfId="0" applyNumberFormat="1" applyFill="1"/>
    <xf numFmtId="0" fontId="76" fillId="0" borderId="0" xfId="0" applyFont="1" applyFill="1" applyBorder="1" applyAlignment="1" applyProtection="1">
      <alignment horizontal="left" vertical="center"/>
    </xf>
    <xf numFmtId="0" fontId="77" fillId="0" borderId="0" xfId="0" applyFont="1" applyFill="1" applyBorder="1" applyAlignment="1" applyProtection="1">
      <alignment horizontal="left" vertical="center"/>
    </xf>
    <xf numFmtId="0" fontId="5" fillId="0" borderId="24" xfId="0" applyFont="1" applyFill="1" applyBorder="1" applyAlignment="1" applyProtection="1">
      <alignment horizontal="center" vertical="center"/>
    </xf>
    <xf numFmtId="0" fontId="5" fillId="0" borderId="28" xfId="0" applyFont="1" applyFill="1" applyBorder="1" applyAlignment="1" applyProtection="1">
      <alignment horizontal="center" vertical="center"/>
    </xf>
    <xf numFmtId="183" fontId="5" fillId="0" borderId="24" xfId="1" applyNumberFormat="1" applyFont="1" applyFill="1" applyBorder="1" applyAlignment="1" applyProtection="1">
      <alignment horizontal="center" vertical="center"/>
    </xf>
    <xf numFmtId="183" fontId="5" fillId="0" borderId="28" xfId="1" applyNumberFormat="1" applyFont="1" applyFill="1" applyBorder="1" applyAlignment="1" applyProtection="1">
      <alignment horizontal="center" vertical="center"/>
    </xf>
    <xf numFmtId="183" fontId="5" fillId="0" borderId="0" xfId="0" applyNumberFormat="1" applyFont="1" applyFill="1" applyBorder="1" applyAlignment="1" applyProtection="1">
      <alignment horizontal="center" vertical="center"/>
    </xf>
    <xf numFmtId="183" fontId="5" fillId="0" borderId="29" xfId="0" applyNumberFormat="1" applyFont="1" applyFill="1" applyBorder="1" applyAlignment="1" applyProtection="1">
      <alignment horizontal="center" vertical="center"/>
    </xf>
    <xf numFmtId="183" fontId="5" fillId="0" borderId="25" xfId="0" applyNumberFormat="1" applyFont="1" applyFill="1" applyBorder="1" applyAlignment="1" applyProtection="1">
      <alignment horizontal="center" vertical="center"/>
    </xf>
    <xf numFmtId="183" fontId="5" fillId="0" borderId="30" xfId="0" applyNumberFormat="1" applyFont="1" applyFill="1" applyBorder="1" applyAlignment="1" applyProtection="1">
      <alignment horizontal="center" vertical="center"/>
    </xf>
    <xf numFmtId="0" fontId="5" fillId="36" borderId="23" xfId="2" applyFont="1" applyFill="1" applyBorder="1" applyAlignment="1" applyProtection="1">
      <alignment horizontal="left" vertical="center"/>
    </xf>
    <xf numFmtId="0" fontId="5" fillId="36" borderId="0" xfId="0" applyFont="1" applyFill="1" applyBorder="1" applyAlignment="1" applyProtection="1">
      <alignment vertical="center"/>
      <protection locked="0"/>
    </xf>
    <xf numFmtId="0" fontId="5" fillId="37" borderId="23" xfId="0" applyFont="1" applyFill="1" applyBorder="1" applyAlignment="1" applyProtection="1">
      <alignment horizontal="left" vertical="center"/>
    </xf>
    <xf numFmtId="0" fontId="5" fillId="37" borderId="0" xfId="0" applyFont="1" applyFill="1" applyBorder="1" applyAlignment="1" applyProtection="1">
      <alignment vertical="center"/>
    </xf>
    <xf numFmtId="184" fontId="5" fillId="0" borderId="36" xfId="0" applyNumberFormat="1" applyFont="1" applyFill="1" applyBorder="1" applyAlignment="1" applyProtection="1">
      <alignment horizontal="center" vertical="center"/>
      <protection locked="0"/>
    </xf>
    <xf numFmtId="0" fontId="5" fillId="0" borderId="2" xfId="0" applyFont="1" applyFill="1" applyBorder="1" applyAlignment="1" applyProtection="1">
      <alignment vertical="center"/>
    </xf>
    <xf numFmtId="0" fontId="5" fillId="0" borderId="37" xfId="0" applyFont="1" applyFill="1" applyBorder="1" applyAlignment="1" applyProtection="1">
      <alignment vertical="center"/>
    </xf>
    <xf numFmtId="183" fontId="5" fillId="32" borderId="2" xfId="0" applyNumberFormat="1" applyFont="1" applyFill="1" applyBorder="1" applyAlignment="1" applyProtection="1">
      <alignment horizontal="center" vertical="center"/>
    </xf>
    <xf numFmtId="183" fontId="5" fillId="32" borderId="37" xfId="0" applyNumberFormat="1" applyFont="1" applyFill="1" applyBorder="1" applyAlignment="1" applyProtection="1">
      <alignment horizontal="center" vertical="center"/>
    </xf>
    <xf numFmtId="0" fontId="0" fillId="0" borderId="0" xfId="0" applyBorder="1"/>
    <xf numFmtId="0" fontId="5" fillId="37" borderId="23" xfId="0" applyFont="1" applyFill="1" applyBorder="1" applyAlignment="1" applyProtection="1">
      <alignment vertical="center"/>
    </xf>
    <xf numFmtId="188" fontId="0" fillId="0" borderId="0" xfId="0" applyNumberFormat="1"/>
    <xf numFmtId="188" fontId="0" fillId="37" borderId="0" xfId="0" applyNumberFormat="1" applyFill="1"/>
    <xf numFmtId="0" fontId="5" fillId="37" borderId="26" xfId="0" applyFont="1" applyFill="1" applyBorder="1" applyAlignment="1" applyProtection="1">
      <alignment vertical="center"/>
    </xf>
    <xf numFmtId="0" fontId="5" fillId="37" borderId="36" xfId="0" applyFont="1" applyFill="1" applyBorder="1" applyAlignment="1" applyProtection="1">
      <alignment vertical="center"/>
    </xf>
    <xf numFmtId="0" fontId="5" fillId="37" borderId="27" xfId="0" applyFont="1" applyFill="1" applyBorder="1" applyAlignment="1" applyProtection="1">
      <alignment vertical="center"/>
    </xf>
  </cellXfs>
  <cellStyles count="760">
    <cellStyle name=" 1" xfId="4"/>
    <cellStyle name=" 1 2" xfId="5"/>
    <cellStyle name="??_012058_03-Weight20050905" xfId="6"/>
    <cellStyle name="_Chi to lai, TV VN" xfId="7"/>
    <cellStyle name="0_!CARPETT" xfId="8"/>
    <cellStyle name="20 % - Akzent1" xfId="9"/>
    <cellStyle name="20 % - Akzent2" xfId="10"/>
    <cellStyle name="20 % - Akzent3" xfId="11"/>
    <cellStyle name="20 % - Akzent4" xfId="12"/>
    <cellStyle name="20 % - Akzent5" xfId="13"/>
    <cellStyle name="20 % - Akzent6" xfId="14"/>
    <cellStyle name="20 % - Accent1" xfId="15"/>
    <cellStyle name="20 % - Accent2" xfId="16"/>
    <cellStyle name="20 % - Accent3" xfId="17"/>
    <cellStyle name="20 % - Accent4" xfId="18"/>
    <cellStyle name="20 % - Accent5" xfId="19"/>
    <cellStyle name="20 % - Accent6" xfId="20"/>
    <cellStyle name="20% - Accent1 2" xfId="21"/>
    <cellStyle name="20% - Accent1 2 2" xfId="22"/>
    <cellStyle name="20% - Accent1 2 3" xfId="23"/>
    <cellStyle name="20% - Accent1 2 4" xfId="24"/>
    <cellStyle name="20% - Accent1 3" xfId="25"/>
    <cellStyle name="20% - Accent1 4" xfId="26"/>
    <cellStyle name="20% - Accent1 5" xfId="27"/>
    <cellStyle name="20% - Accent1 6" xfId="28"/>
    <cellStyle name="20% - Accent2 2" xfId="29"/>
    <cellStyle name="20% - Accent2 2 2" xfId="30"/>
    <cellStyle name="20% - Accent2 2 3" xfId="31"/>
    <cellStyle name="20% - Accent2 2 4" xfId="32"/>
    <cellStyle name="20% - Accent2 3" xfId="33"/>
    <cellStyle name="20% - Accent2 4" xfId="34"/>
    <cellStyle name="20% - Accent2 5" xfId="35"/>
    <cellStyle name="20% - Accent2 6" xfId="36"/>
    <cellStyle name="20% - Accent3 2" xfId="37"/>
    <cellStyle name="20% - Accent3 2 2" xfId="38"/>
    <cellStyle name="20% - Accent3 2 3" xfId="39"/>
    <cellStyle name="20% - Accent3 2 4" xfId="40"/>
    <cellStyle name="20% - Accent3 3" xfId="41"/>
    <cellStyle name="20% - Accent3 4" xfId="42"/>
    <cellStyle name="20% - Accent3 5" xfId="43"/>
    <cellStyle name="20% - Accent3 6" xfId="44"/>
    <cellStyle name="20% - Accent4 2" xfId="45"/>
    <cellStyle name="20% - Accent4 2 2" xfId="46"/>
    <cellStyle name="20% - Accent4 2 3" xfId="47"/>
    <cellStyle name="20% - Accent4 2 4" xfId="48"/>
    <cellStyle name="20% - Accent4 3" xfId="49"/>
    <cellStyle name="20% - Accent4 4" xfId="50"/>
    <cellStyle name="20% - Accent4 5" xfId="51"/>
    <cellStyle name="20% - Accent4 6" xfId="52"/>
    <cellStyle name="20% - Accent5 2" xfId="53"/>
    <cellStyle name="20% - Accent5 2 2" xfId="54"/>
    <cellStyle name="20% - Accent5 2 3" xfId="55"/>
    <cellStyle name="20% - Accent5 2 4" xfId="56"/>
    <cellStyle name="20% - Accent5 3" xfId="57"/>
    <cellStyle name="20% - Accent5 4" xfId="58"/>
    <cellStyle name="20% - Accent5 5" xfId="59"/>
    <cellStyle name="20% - Accent5 6" xfId="60"/>
    <cellStyle name="20% - Accent6 2" xfId="61"/>
    <cellStyle name="20% - Accent6 2 2" xfId="62"/>
    <cellStyle name="20% - Accent6 2 3" xfId="63"/>
    <cellStyle name="20% - Accent6 2 4" xfId="64"/>
    <cellStyle name="20% - Accent6 3" xfId="65"/>
    <cellStyle name="20% - Accent6 4" xfId="66"/>
    <cellStyle name="20% - Accent6 5" xfId="67"/>
    <cellStyle name="20% - Accent6 6" xfId="68"/>
    <cellStyle name="40 % - Akzent1" xfId="69"/>
    <cellStyle name="40 % - Akzent2" xfId="70"/>
    <cellStyle name="40 % - Akzent3" xfId="71"/>
    <cellStyle name="40 % - Akzent4" xfId="72"/>
    <cellStyle name="40 % - Akzent5" xfId="73"/>
    <cellStyle name="40 % - Akzent6" xfId="74"/>
    <cellStyle name="40 % - Accent1" xfId="75"/>
    <cellStyle name="40 % - Accent2" xfId="76"/>
    <cellStyle name="40 % - Accent3" xfId="77"/>
    <cellStyle name="40 % - Accent4" xfId="78"/>
    <cellStyle name="40 % - Accent5" xfId="79"/>
    <cellStyle name="40 % - Accent6" xfId="80"/>
    <cellStyle name="40% - Accent1 2" xfId="81"/>
    <cellStyle name="40% - Accent1 2 2" xfId="82"/>
    <cellStyle name="40% - Accent1 2 3" xfId="83"/>
    <cellStyle name="40% - Accent1 2 4" xfId="84"/>
    <cellStyle name="40% - Accent1 3" xfId="85"/>
    <cellStyle name="40% - Accent1 4" xfId="86"/>
    <cellStyle name="40% - Accent1 5" xfId="87"/>
    <cellStyle name="40% - Accent1 6" xfId="88"/>
    <cellStyle name="40% - Accent2 2" xfId="89"/>
    <cellStyle name="40% - Accent2 2 2" xfId="90"/>
    <cellStyle name="40% - Accent2 2 3" xfId="91"/>
    <cellStyle name="40% - Accent2 2 4" xfId="92"/>
    <cellStyle name="40% - Accent2 3" xfId="93"/>
    <cellStyle name="40% - Accent2 4" xfId="94"/>
    <cellStyle name="40% - Accent2 5" xfId="95"/>
    <cellStyle name="40% - Accent2 6" xfId="96"/>
    <cellStyle name="40% - Accent3 2" xfId="97"/>
    <cellStyle name="40% - Accent3 2 2" xfId="98"/>
    <cellStyle name="40% - Accent3 2 3" xfId="99"/>
    <cellStyle name="40% - Accent3 2 4" xfId="100"/>
    <cellStyle name="40% - Accent3 3" xfId="101"/>
    <cellStyle name="40% - Accent3 4" xfId="102"/>
    <cellStyle name="40% - Accent3 5" xfId="103"/>
    <cellStyle name="40% - Accent3 6" xfId="104"/>
    <cellStyle name="40% - Accent4 2" xfId="105"/>
    <cellStyle name="40% - Accent4 2 2" xfId="106"/>
    <cellStyle name="40% - Accent4 2 3" xfId="107"/>
    <cellStyle name="40% - Accent4 2 4" xfId="108"/>
    <cellStyle name="40% - Accent4 3" xfId="109"/>
    <cellStyle name="40% - Accent4 4" xfId="110"/>
    <cellStyle name="40% - Accent4 5" xfId="111"/>
    <cellStyle name="40% - Accent4 6" xfId="112"/>
    <cellStyle name="40% - Accent5 2" xfId="113"/>
    <cellStyle name="40% - Accent5 2 2" xfId="114"/>
    <cellStyle name="40% - Accent5 2 3" xfId="115"/>
    <cellStyle name="40% - Accent5 2 4" xfId="116"/>
    <cellStyle name="40% - Accent5 3" xfId="117"/>
    <cellStyle name="40% - Accent5 4" xfId="118"/>
    <cellStyle name="40% - Accent5 5" xfId="119"/>
    <cellStyle name="40% - Accent5 6" xfId="120"/>
    <cellStyle name="40% - Accent6 2" xfId="121"/>
    <cellStyle name="40% - Accent6 2 2" xfId="122"/>
    <cellStyle name="40% - Accent6 2 3" xfId="123"/>
    <cellStyle name="40% - Accent6 2 4" xfId="124"/>
    <cellStyle name="40% - Accent6 3" xfId="125"/>
    <cellStyle name="40% - Accent6 4" xfId="126"/>
    <cellStyle name="40% - Accent6 5" xfId="127"/>
    <cellStyle name="40% - Accent6 6" xfId="128"/>
    <cellStyle name="60 % - Akzent1" xfId="129"/>
    <cellStyle name="60 % - Akzent2" xfId="130"/>
    <cellStyle name="60 % - Akzent3" xfId="131"/>
    <cellStyle name="60 % - Akzent4" xfId="132"/>
    <cellStyle name="60 % - Akzent5" xfId="133"/>
    <cellStyle name="60 % - Akzent6" xfId="134"/>
    <cellStyle name="60 % - Accent1" xfId="135"/>
    <cellStyle name="60 % - Accent2" xfId="136"/>
    <cellStyle name="60 % - Accent3" xfId="137"/>
    <cellStyle name="60 % - Accent4" xfId="138"/>
    <cellStyle name="60 % - Accent5" xfId="139"/>
    <cellStyle name="60 % - Accent6" xfId="140"/>
    <cellStyle name="60% - Accent1 2" xfId="141"/>
    <cellStyle name="60% - Accent1 2 2" xfId="142"/>
    <cellStyle name="60% - Accent1 2 3" xfId="143"/>
    <cellStyle name="60% - Accent1 2 4" xfId="144"/>
    <cellStyle name="60% - Accent1 3" xfId="145"/>
    <cellStyle name="60% - Accent1 4" xfId="146"/>
    <cellStyle name="60% - Accent1 5" xfId="147"/>
    <cellStyle name="60% - Accent1 6" xfId="148"/>
    <cellStyle name="60% - Accent2 2" xfId="149"/>
    <cellStyle name="60% - Accent2 2 2" xfId="150"/>
    <cellStyle name="60% - Accent2 2 3" xfId="151"/>
    <cellStyle name="60% - Accent2 2 4" xfId="152"/>
    <cellStyle name="60% - Accent2 3" xfId="153"/>
    <cellStyle name="60% - Accent2 4" xfId="154"/>
    <cellStyle name="60% - Accent2 5" xfId="155"/>
    <cellStyle name="60% - Accent2 6" xfId="156"/>
    <cellStyle name="60% - Accent3 2" xfId="157"/>
    <cellStyle name="60% - Accent3 2 2" xfId="158"/>
    <cellStyle name="60% - Accent3 2 3" xfId="159"/>
    <cellStyle name="60% - Accent3 2 4" xfId="160"/>
    <cellStyle name="60% - Accent3 3" xfId="161"/>
    <cellStyle name="60% - Accent3 4" xfId="162"/>
    <cellStyle name="60% - Accent3 5" xfId="163"/>
    <cellStyle name="60% - Accent3 6" xfId="164"/>
    <cellStyle name="60% - Accent4 2" xfId="165"/>
    <cellStyle name="60% - Accent4 2 2" xfId="166"/>
    <cellStyle name="60% - Accent4 2 3" xfId="167"/>
    <cellStyle name="60% - Accent4 2 4" xfId="168"/>
    <cellStyle name="60% - Accent4 3" xfId="169"/>
    <cellStyle name="60% - Accent4 4" xfId="170"/>
    <cellStyle name="60% - Accent4 5" xfId="171"/>
    <cellStyle name="60% - Accent4 6" xfId="172"/>
    <cellStyle name="60% - Accent5 2" xfId="173"/>
    <cellStyle name="60% - Accent5 2 2" xfId="174"/>
    <cellStyle name="60% - Accent5 2 3" xfId="175"/>
    <cellStyle name="60% - Accent5 2 4" xfId="176"/>
    <cellStyle name="60% - Accent5 3" xfId="177"/>
    <cellStyle name="60% - Accent5 4" xfId="178"/>
    <cellStyle name="60% - Accent5 5" xfId="179"/>
    <cellStyle name="60% - Accent5 6" xfId="180"/>
    <cellStyle name="60% - Accent6 2" xfId="181"/>
    <cellStyle name="60% - Accent6 2 2" xfId="182"/>
    <cellStyle name="60% - Accent6 2 3" xfId="183"/>
    <cellStyle name="60% - Accent6 2 4" xfId="184"/>
    <cellStyle name="60% - Accent6 3" xfId="185"/>
    <cellStyle name="60% - Accent6 4" xfId="186"/>
    <cellStyle name="60% - Accent6 5" xfId="187"/>
    <cellStyle name="60% - Accent6 6" xfId="188"/>
    <cellStyle name="Accent1 2" xfId="189"/>
    <cellStyle name="Accent1 2 2" xfId="190"/>
    <cellStyle name="Accent1 2 3" xfId="191"/>
    <cellStyle name="Accent1 2 4" xfId="192"/>
    <cellStyle name="Accent1 3" xfId="193"/>
    <cellStyle name="Accent1 4" xfId="194"/>
    <cellStyle name="Accent1 5" xfId="195"/>
    <cellStyle name="Accent1 6" xfId="196"/>
    <cellStyle name="Accent2 2" xfId="197"/>
    <cellStyle name="Accent2 2 2" xfId="198"/>
    <cellStyle name="Accent2 2 3" xfId="199"/>
    <cellStyle name="Accent2 2 4" xfId="200"/>
    <cellStyle name="Accent2 3" xfId="201"/>
    <cellStyle name="Accent2 4" xfId="202"/>
    <cellStyle name="Accent2 5" xfId="203"/>
    <cellStyle name="Accent2 6" xfId="204"/>
    <cellStyle name="Accent3 2" xfId="205"/>
    <cellStyle name="Accent3 2 2" xfId="206"/>
    <cellStyle name="Accent3 2 3" xfId="207"/>
    <cellStyle name="Accent3 2 4" xfId="208"/>
    <cellStyle name="Accent3 3" xfId="209"/>
    <cellStyle name="Accent3 4" xfId="210"/>
    <cellStyle name="Accent3 5" xfId="211"/>
    <cellStyle name="Accent3 6" xfId="212"/>
    <cellStyle name="Accent4 2" xfId="213"/>
    <cellStyle name="Accent4 2 2" xfId="214"/>
    <cellStyle name="Accent4 2 3" xfId="215"/>
    <cellStyle name="Accent4 2 4" xfId="216"/>
    <cellStyle name="Accent4 3" xfId="217"/>
    <cellStyle name="Accent4 4" xfId="218"/>
    <cellStyle name="Accent4 5" xfId="219"/>
    <cellStyle name="Accent4 6" xfId="220"/>
    <cellStyle name="Accent5 2" xfId="221"/>
    <cellStyle name="Accent5 2 2" xfId="222"/>
    <cellStyle name="Accent5 2 3" xfId="223"/>
    <cellStyle name="Accent5 2 4" xfId="224"/>
    <cellStyle name="Accent5 3" xfId="225"/>
    <cellStyle name="Accent5 4" xfId="226"/>
    <cellStyle name="Accent5 5" xfId="227"/>
    <cellStyle name="Accent5 6" xfId="228"/>
    <cellStyle name="Accent6 2" xfId="229"/>
    <cellStyle name="Accent6 2 2" xfId="230"/>
    <cellStyle name="Accent6 2 3" xfId="231"/>
    <cellStyle name="Accent6 2 4" xfId="232"/>
    <cellStyle name="Accent6 3" xfId="233"/>
    <cellStyle name="Accent6 4" xfId="234"/>
    <cellStyle name="Accent6 5" xfId="235"/>
    <cellStyle name="Accent6 6" xfId="236"/>
    <cellStyle name="Akzent1" xfId="237"/>
    <cellStyle name="Akzent2" xfId="238"/>
    <cellStyle name="Akzent3" xfId="239"/>
    <cellStyle name="Akzent4" xfId="240"/>
    <cellStyle name="Akzent5" xfId="241"/>
    <cellStyle name="Akzent6" xfId="242"/>
    <cellStyle name="AÞ¸¶ [0]_INQUIRY ¿?¾÷AßAø " xfId="243"/>
    <cellStyle name="AÞ¸¶_INQUIRY ¿?¾÷AßAø " xfId="244"/>
    <cellStyle name="Ausgabe" xfId="245"/>
    <cellStyle name="Avertissement" xfId="246"/>
    <cellStyle name="Bad" xfId="2" builtinId="27"/>
    <cellStyle name="Bad 2" xfId="247"/>
    <cellStyle name="Bad 2 2" xfId="248"/>
    <cellStyle name="Bad 2 2 2" xfId="249"/>
    <cellStyle name="Bad 2 3" xfId="250"/>
    <cellStyle name="Bad 2 4" xfId="251"/>
    <cellStyle name="Bad 3" xfId="252"/>
    <cellStyle name="Bad 3 2" xfId="253"/>
    <cellStyle name="Bad 4" xfId="254"/>
    <cellStyle name="Bad 5" xfId="255"/>
    <cellStyle name="Bad 6" xfId="256"/>
    <cellStyle name="Berechnung" xfId="257"/>
    <cellStyle name="Besuchter Hyperlink" xfId="258"/>
    <cellStyle name="Besuchter Hyperlink 2" xfId="259"/>
    <cellStyle name="BORDER" xfId="260"/>
    <cellStyle name="BORDER 2" xfId="261"/>
    <cellStyle name="BORDER 2 2" xfId="262"/>
    <cellStyle name="BORDER 3" xfId="263"/>
    <cellStyle name="C?AØ_¿?¾÷CoE² " xfId="264"/>
    <cellStyle name="Calcul" xfId="265"/>
    <cellStyle name="Calculation 2" xfId="266"/>
    <cellStyle name="Calculation 2 2" xfId="267"/>
    <cellStyle name="Calculation 2 3" xfId="268"/>
    <cellStyle name="Calculation 2 4" xfId="269"/>
    <cellStyle name="Calculation 3" xfId="270"/>
    <cellStyle name="Calculation 4" xfId="271"/>
    <cellStyle name="Calculation 5" xfId="272"/>
    <cellStyle name="Calculation 6" xfId="273"/>
    <cellStyle name="Cellule liée" xfId="274"/>
    <cellStyle name="Check Cell 2" xfId="275"/>
    <cellStyle name="Check Cell 2 2" xfId="276"/>
    <cellStyle name="Check Cell 2 3" xfId="277"/>
    <cellStyle name="Check Cell 2 4" xfId="278"/>
    <cellStyle name="Check Cell 3" xfId="279"/>
    <cellStyle name="Check Cell 4" xfId="280"/>
    <cellStyle name="Check Cell 5" xfId="281"/>
    <cellStyle name="Check Cell 6" xfId="282"/>
    <cellStyle name="Comma 2" xfId="283"/>
    <cellStyle name="Comma 2 2" xfId="284"/>
    <cellStyle name="Comma 2 2 2" xfId="285"/>
    <cellStyle name="Comma 2 2 2 2" xfId="286"/>
    <cellStyle name="Comma 2 2 2 2 2" xfId="287"/>
    <cellStyle name="Comma 2 2 2 3" xfId="288"/>
    <cellStyle name="Comma 2 2 3" xfId="289"/>
    <cellStyle name="Comma 2 2 3 2" xfId="290"/>
    <cellStyle name="Comma 2 2 4" xfId="291"/>
    <cellStyle name="Comma 2 3" xfId="292"/>
    <cellStyle name="Comma 2 3 2" xfId="293"/>
    <cellStyle name="Comma 2 3 2 2" xfId="294"/>
    <cellStyle name="Comma 2 3 3" xfId="295"/>
    <cellStyle name="Comma 2 4" xfId="296"/>
    <cellStyle name="Comma 2 4 2" xfId="297"/>
    <cellStyle name="Comma 2 5" xfId="298"/>
    <cellStyle name="Comma 2 6" xfId="299"/>
    <cellStyle name="Comma 3" xfId="300"/>
    <cellStyle name="Comma 3 2" xfId="301"/>
    <cellStyle name="Comma 3 3" xfId="302"/>
    <cellStyle name="Comma 4" xfId="303"/>
    <cellStyle name="Comma 4 2" xfId="304"/>
    <cellStyle name="Comma 4 2 2" xfId="305"/>
    <cellStyle name="Comma 4 2 2 2" xfId="306"/>
    <cellStyle name="Comma 4 2 3" xfId="307"/>
    <cellStyle name="Comma 4 3" xfId="308"/>
    <cellStyle name="Comma 4 3 2" xfId="309"/>
    <cellStyle name="Comma 4 4" xfId="310"/>
    <cellStyle name="Comma 5" xfId="311"/>
    <cellStyle name="Comma 5 2" xfId="312"/>
    <cellStyle name="Comma 5 2 2" xfId="313"/>
    <cellStyle name="Comma 5 3" xfId="314"/>
    <cellStyle name="Comma 6" xfId="315"/>
    <cellStyle name="Comma 6 2" xfId="316"/>
    <cellStyle name="Comma 7" xfId="317"/>
    <cellStyle name="Comma 8" xfId="318"/>
    <cellStyle name="Comma 9" xfId="319"/>
    <cellStyle name="Comma0" xfId="320"/>
    <cellStyle name="Commentaire" xfId="321"/>
    <cellStyle name="Currency 2" xfId="322"/>
    <cellStyle name="Currency 2 2" xfId="323"/>
    <cellStyle name="Currency0" xfId="324"/>
    <cellStyle name="Date" xfId="325"/>
    <cellStyle name="Dezimal [0]_rig4_surge_data" xfId="326"/>
    <cellStyle name="Dezimal_rig4_surge_data" xfId="327"/>
    <cellStyle name="dots" xfId="328"/>
    <cellStyle name="dots 2" xfId="329"/>
    <cellStyle name="dots 2 2" xfId="330"/>
    <cellStyle name="dots 3" xfId="331"/>
    <cellStyle name="Eingabe" xfId="332"/>
    <cellStyle name="Entrée" xfId="333"/>
    <cellStyle name="Ergebnis" xfId="334"/>
    <cellStyle name="Erklärender Text" xfId="335"/>
    <cellStyle name="Euro" xfId="336"/>
    <cellStyle name="Euro 2" xfId="337"/>
    <cellStyle name="Euro 2 2" xfId="338"/>
    <cellStyle name="Euro 3" xfId="339"/>
    <cellStyle name="Euro_MTO 165hp" xfId="340"/>
    <cellStyle name="Explanatory Text 2" xfId="341"/>
    <cellStyle name="Explanatory Text 2 2" xfId="342"/>
    <cellStyle name="Explanatory Text 2 3" xfId="343"/>
    <cellStyle name="Explanatory Text 2 4" xfId="344"/>
    <cellStyle name="Explanatory Text 3" xfId="345"/>
    <cellStyle name="Explanatory Text 4" xfId="346"/>
    <cellStyle name="Explanatory Text 5" xfId="347"/>
    <cellStyle name="Explanatory Text 6" xfId="348"/>
    <cellStyle name="Fixed" xfId="349"/>
    <cellStyle name="General_!CARPETT" xfId="350"/>
    <cellStyle name="Good 2" xfId="351"/>
    <cellStyle name="Good 2 2" xfId="352"/>
    <cellStyle name="Good 2 3" xfId="353"/>
    <cellStyle name="Good 2 4" xfId="354"/>
    <cellStyle name="Good 3" xfId="355"/>
    <cellStyle name="Good 4" xfId="356"/>
    <cellStyle name="Good 5" xfId="357"/>
    <cellStyle name="Good 6" xfId="358"/>
    <cellStyle name="Gut" xfId="359"/>
    <cellStyle name="Header1" xfId="360"/>
    <cellStyle name="Header2" xfId="361"/>
    <cellStyle name="Heading 1 2" xfId="362"/>
    <cellStyle name="Heading 1 2 2" xfId="363"/>
    <cellStyle name="Heading 1 2 3" xfId="364"/>
    <cellStyle name="Heading 1 2 4" xfId="365"/>
    <cellStyle name="Heading 1 3" xfId="366"/>
    <cellStyle name="Heading 1 4" xfId="367"/>
    <cellStyle name="Heading 1 5" xfId="368"/>
    <cellStyle name="Heading 1 6" xfId="369"/>
    <cellStyle name="Heading 2 2" xfId="370"/>
    <cellStyle name="Heading 2 2 2" xfId="371"/>
    <cellStyle name="Heading 2 2 3" xfId="372"/>
    <cellStyle name="Heading 2 2 4" xfId="373"/>
    <cellStyle name="Heading 2 3" xfId="374"/>
    <cellStyle name="Heading 2 4" xfId="375"/>
    <cellStyle name="Heading 2 5" xfId="376"/>
    <cellStyle name="Heading 2 6" xfId="377"/>
    <cellStyle name="Heading 3 2" xfId="378"/>
    <cellStyle name="Heading 3 2 2" xfId="379"/>
    <cellStyle name="Heading 3 2 3" xfId="380"/>
    <cellStyle name="Heading 3 2 4" xfId="381"/>
    <cellStyle name="Heading 3 3" xfId="382"/>
    <cellStyle name="Heading 3 4" xfId="383"/>
    <cellStyle name="Heading 3 5" xfId="384"/>
    <cellStyle name="Heading 3 6" xfId="385"/>
    <cellStyle name="Heading 4 2" xfId="386"/>
    <cellStyle name="Heading 4 2 2" xfId="387"/>
    <cellStyle name="Heading 4 2 3" xfId="388"/>
    <cellStyle name="Heading 4 2 4" xfId="389"/>
    <cellStyle name="Heading 4 3" xfId="390"/>
    <cellStyle name="Heading 4 4" xfId="391"/>
    <cellStyle name="Heading 4 5" xfId="392"/>
    <cellStyle name="Heading 4 6" xfId="393"/>
    <cellStyle name="Hide Errors" xfId="394"/>
    <cellStyle name="Hide Errors 2" xfId="395"/>
    <cellStyle name="Hyperlink 2" xfId="3"/>
    <cellStyle name="Hyperlink 2 2" xfId="396"/>
    <cellStyle name="Hyperlink 2 3" xfId="397"/>
    <cellStyle name="Hyperlink 3" xfId="398"/>
    <cellStyle name="Hyperlink 4" xfId="399"/>
    <cellStyle name="Input 2" xfId="400"/>
    <cellStyle name="Input 2 2" xfId="401"/>
    <cellStyle name="Input 2 3" xfId="402"/>
    <cellStyle name="Input 2 4" xfId="403"/>
    <cellStyle name="Input 3" xfId="404"/>
    <cellStyle name="Input 4" xfId="405"/>
    <cellStyle name="Input 5" xfId="406"/>
    <cellStyle name="Input 6" xfId="407"/>
    <cellStyle name="Insatisfaisant" xfId="408"/>
    <cellStyle name="Kien1" xfId="409"/>
    <cellStyle name="Leading Zero" xfId="410"/>
    <cellStyle name="Leading Zero 2" xfId="411"/>
    <cellStyle name="Leading Zero 3" xfId="412"/>
    <cellStyle name="Leading Zero_Incremental to Status Deck 050313" xfId="413"/>
    <cellStyle name="Linked Cell 2" xfId="414"/>
    <cellStyle name="Linked Cell 2 2" xfId="415"/>
    <cellStyle name="Linked Cell 2 3" xfId="416"/>
    <cellStyle name="Linked Cell 2 4" xfId="417"/>
    <cellStyle name="Linked Cell 3" xfId="418"/>
    <cellStyle name="Linked Cell 4" xfId="419"/>
    <cellStyle name="Linked Cell 5" xfId="420"/>
    <cellStyle name="Linked Cell 6" xfId="421"/>
    <cellStyle name="Minus (0)" xfId="422"/>
    <cellStyle name="Minus (0) 2" xfId="423"/>
    <cellStyle name="Minus (0) 3" xfId="424"/>
    <cellStyle name="Minus (0)_Incremental to Status Deck 050313" xfId="425"/>
    <cellStyle name="Minus (0.0)" xfId="426"/>
    <cellStyle name="Minus (0.0) 2" xfId="427"/>
    <cellStyle name="Minus (0.0) 3" xfId="428"/>
    <cellStyle name="Minus (0.0)_Incremental to Status Deck 050313" xfId="429"/>
    <cellStyle name="Minus (0.00)" xfId="430"/>
    <cellStyle name="Minus (0.00) 2" xfId="431"/>
    <cellStyle name="Minus (0.00) 3" xfId="432"/>
    <cellStyle name="Minus (0.00)_Incremental to Status Deck 050313" xfId="433"/>
    <cellStyle name="Neutral 2" xfId="434"/>
    <cellStyle name="Neutral 2 2" xfId="435"/>
    <cellStyle name="Neutral 2 3" xfId="436"/>
    <cellStyle name="Neutral 2 4" xfId="437"/>
    <cellStyle name="Neutral 3" xfId="438"/>
    <cellStyle name="Neutral 4" xfId="439"/>
    <cellStyle name="Neutral 5" xfId="440"/>
    <cellStyle name="Neutral 6" xfId="441"/>
    <cellStyle name="Neutre" xfId="442"/>
    <cellStyle name="Normal" xfId="0" builtinId="0"/>
    <cellStyle name="Normal 10" xfId="443"/>
    <cellStyle name="Normal 10 2" xfId="444"/>
    <cellStyle name="Normal 10 3" xfId="445"/>
    <cellStyle name="Normal 10 3 2" xfId="446"/>
    <cellStyle name="Normal 10 4" xfId="447"/>
    <cellStyle name="Normal 10 5" xfId="448"/>
    <cellStyle name="Normal 10_MTO 165hp" xfId="449"/>
    <cellStyle name="Normal 11" xfId="450"/>
    <cellStyle name="Normal 11 2" xfId="451"/>
    <cellStyle name="Normal 11 3" xfId="452"/>
    <cellStyle name="Normal 11 4" xfId="453"/>
    <cellStyle name="Normal 11 5" xfId="454"/>
    <cellStyle name="Normal 12" xfId="455"/>
    <cellStyle name="Normal 12 2" xfId="456"/>
    <cellStyle name="Normal 13" xfId="457"/>
    <cellStyle name="Normal 13 2" xfId="458"/>
    <cellStyle name="Normal 14" xfId="459"/>
    <cellStyle name="Normal 14 2" xfId="460"/>
    <cellStyle name="Normal 15" xfId="461"/>
    <cellStyle name="Normal 15 2" xfId="462"/>
    <cellStyle name="Normal 16" xfId="463"/>
    <cellStyle name="Normal 17" xfId="464"/>
    <cellStyle name="Normal 18" xfId="465"/>
    <cellStyle name="Normal 19" xfId="466"/>
    <cellStyle name="Normal 2" xfId="467"/>
    <cellStyle name="Normal 2 2" xfId="468"/>
    <cellStyle name="Normal 2 2 2" xfId="469"/>
    <cellStyle name="Normal 2 2 2 2" xfId="470"/>
    <cellStyle name="Normal 2 2 3" xfId="471"/>
    <cellStyle name="Normal 2 2 3 2" xfId="472"/>
    <cellStyle name="Normal 2 3" xfId="473"/>
    <cellStyle name="Normal 2 3 2" xfId="474"/>
    <cellStyle name="Normal 2 3 2 2" xfId="475"/>
    <cellStyle name="Normal 2 3 3" xfId="476"/>
    <cellStyle name="Normal 2 4" xfId="477"/>
    <cellStyle name="Normal 2 5" xfId="478"/>
    <cellStyle name="Normal 2 5 2" xfId="479"/>
    <cellStyle name="Normal 2 5 2 2" xfId="480"/>
    <cellStyle name="Normal 2 5 3" xfId="481"/>
    <cellStyle name="Normal 2 6" xfId="482"/>
    <cellStyle name="Normal 2 7" xfId="483"/>
    <cellStyle name="Normal 2 8" xfId="484"/>
    <cellStyle name="Normal 2 9" xfId="485"/>
    <cellStyle name="Normal 2_copyof_wip RB3036_01E Datapack 140113" xfId="486"/>
    <cellStyle name="Normal 20" xfId="487"/>
    <cellStyle name="Normal 21" xfId="488"/>
    <cellStyle name="Normal 22" xfId="489"/>
    <cellStyle name="Normal 23" xfId="753"/>
    <cellStyle name="Normal 23 2" xfId="757"/>
    <cellStyle name="Normal 24" xfId="755"/>
    <cellStyle name="Normal 24 2" xfId="758"/>
    <cellStyle name="Normal 3" xfId="490"/>
    <cellStyle name="Normal 3 2" xfId="491"/>
    <cellStyle name="Normal 3 2 2" xfId="492"/>
    <cellStyle name="Normal 3 2 2 2" xfId="493"/>
    <cellStyle name="Normal 3 2 2 2 2" xfId="494"/>
    <cellStyle name="Normal 3 2 2 2 2 2" xfId="495"/>
    <cellStyle name="Normal 3 2 2 2 2 2 2" xfId="496"/>
    <cellStyle name="Normal 3 2 2 2 2 3" xfId="497"/>
    <cellStyle name="Normal 3 2 2 2 3" xfId="498"/>
    <cellStyle name="Normal 3 2 2 2 3 2" xfId="499"/>
    <cellStyle name="Normal 3 2 2 2 4" xfId="500"/>
    <cellStyle name="Normal 3 2 2 3" xfId="501"/>
    <cellStyle name="Normal 3 2 2 3 2" xfId="502"/>
    <cellStyle name="Normal 3 2 2 3 2 2" xfId="503"/>
    <cellStyle name="Normal 3 2 2 3 3" xfId="504"/>
    <cellStyle name="Normal 3 2 2 4" xfId="505"/>
    <cellStyle name="Normal 3 2 2 4 2" xfId="506"/>
    <cellStyle name="Normal 3 2 2 5" xfId="507"/>
    <cellStyle name="Normal 3 2 3" xfId="508"/>
    <cellStyle name="Normal 3 2 3 2" xfId="509"/>
    <cellStyle name="Normal 3 2 3 2 2" xfId="510"/>
    <cellStyle name="Normal 3 2 3 2 2 2" xfId="511"/>
    <cellStyle name="Normal 3 2 3 2 3" xfId="512"/>
    <cellStyle name="Normal 3 2 3 3" xfId="513"/>
    <cellStyle name="Normal 3 2 3 3 2" xfId="514"/>
    <cellStyle name="Normal 3 2 3 4" xfId="515"/>
    <cellStyle name="Normal 3 2 4" xfId="516"/>
    <cellStyle name="Normal 3 2 4 2" xfId="517"/>
    <cellStyle name="Normal 3 2 4 2 2" xfId="518"/>
    <cellStyle name="Normal 3 2 4 3" xfId="519"/>
    <cellStyle name="Normal 3 2 5" xfId="520"/>
    <cellStyle name="Normal 3 2 5 2" xfId="521"/>
    <cellStyle name="Normal 3 2 6" xfId="522"/>
    <cellStyle name="Normal 3 2 6 2" xfId="523"/>
    <cellStyle name="Normal 3 2 7" xfId="524"/>
    <cellStyle name="Normal 3 3" xfId="525"/>
    <cellStyle name="Normal 3 3 2" xfId="526"/>
    <cellStyle name="Normal 3 3 2 2" xfId="527"/>
    <cellStyle name="Normal 3 3 2 2 2" xfId="528"/>
    <cellStyle name="Normal 3 3 2 2 2 2" xfId="529"/>
    <cellStyle name="Normal 3 3 2 2 3" xfId="530"/>
    <cellStyle name="Normal 3 3 2 3" xfId="531"/>
    <cellStyle name="Normal 3 3 2 3 2" xfId="532"/>
    <cellStyle name="Normal 3 3 2 4" xfId="533"/>
    <cellStyle name="Normal 3 3 3" xfId="534"/>
    <cellStyle name="Normal 3 3 3 2" xfId="535"/>
    <cellStyle name="Normal 3 3 3 2 2" xfId="536"/>
    <cellStyle name="Normal 3 3 3 3" xfId="537"/>
    <cellStyle name="Normal 3 3 4" xfId="538"/>
    <cellStyle name="Normal 3 3 4 2" xfId="539"/>
    <cellStyle name="Normal 3 3 5" xfId="540"/>
    <cellStyle name="Normal 3 4" xfId="541"/>
    <cellStyle name="Normal 3 4 2" xfId="542"/>
    <cellStyle name="Normal 3 4 2 2" xfId="543"/>
    <cellStyle name="Normal 3 4 2 2 2" xfId="544"/>
    <cellStyle name="Normal 3 4 2 3" xfId="545"/>
    <cellStyle name="Normal 3 4 3" xfId="546"/>
    <cellStyle name="Normal 3 4 3 2" xfId="547"/>
    <cellStyle name="Normal 3 4 4" xfId="548"/>
    <cellStyle name="Normal 3 5" xfId="549"/>
    <cellStyle name="Normal 3 5 2" xfId="550"/>
    <cellStyle name="Normal 3 5 2 2" xfId="551"/>
    <cellStyle name="Normal 3 5 3" xfId="552"/>
    <cellStyle name="Normal 3 6" xfId="553"/>
    <cellStyle name="Normal 3 6 2" xfId="554"/>
    <cellStyle name="Normal 3 7" xfId="555"/>
    <cellStyle name="Normal 3 7 2" xfId="556"/>
    <cellStyle name="Normal 3 8" xfId="557"/>
    <cellStyle name="Normal 3 9" xfId="558"/>
    <cellStyle name="Normal 3_Chi phi bay My" xfId="559"/>
    <cellStyle name="Normal 4" xfId="560"/>
    <cellStyle name="Normal 4 2" xfId="561"/>
    <cellStyle name="Normal 4 2 2" xfId="562"/>
    <cellStyle name="Normal 4 2 2 2" xfId="563"/>
    <cellStyle name="Normal 4 2 2 2 2" xfId="564"/>
    <cellStyle name="Normal 4 2 2 3" xfId="565"/>
    <cellStyle name="Normal 4 2 3" xfId="566"/>
    <cellStyle name="Normal 4 2 3 2" xfId="567"/>
    <cellStyle name="Normal 4 2 4" xfId="568"/>
    <cellStyle name="Normal 4 3" xfId="569"/>
    <cellStyle name="Normal 4 3 2" xfId="570"/>
    <cellStyle name="Normal 4 3 2 2" xfId="571"/>
    <cellStyle name="Normal 4 3 3" xfId="572"/>
    <cellStyle name="Normal 4 3 4" xfId="573"/>
    <cellStyle name="Normal 4 4" xfId="574"/>
    <cellStyle name="Normal 4 4 2" xfId="575"/>
    <cellStyle name="Normal 4 5" xfId="576"/>
    <cellStyle name="Normal 4 6" xfId="577"/>
    <cellStyle name="Normal 4_copyof_wip RB3036_01E Datapack 140113" xfId="578"/>
    <cellStyle name="Normal 5" xfId="579"/>
    <cellStyle name="Normal 5 2" xfId="580"/>
    <cellStyle name="Normal 5 2 2" xfId="581"/>
    <cellStyle name="Normal 5 2 2 2" xfId="582"/>
    <cellStyle name="Normal 5 2 2 2 2" xfId="583"/>
    <cellStyle name="Normal 5 2 2 2 2 2" xfId="584"/>
    <cellStyle name="Normal 5 2 2 2 3" xfId="585"/>
    <cellStyle name="Normal 5 2 2 3" xfId="586"/>
    <cellStyle name="Normal 5 2 2 3 2" xfId="587"/>
    <cellStyle name="Normal 5 2 2 4" xfId="588"/>
    <cellStyle name="Normal 5 2 3" xfId="589"/>
    <cellStyle name="Normal 5 2 3 2" xfId="590"/>
    <cellStyle name="Normal 5 2 3 2 2" xfId="591"/>
    <cellStyle name="Normal 5 2 3 3" xfId="592"/>
    <cellStyle name="Normal 5 2 4" xfId="593"/>
    <cellStyle name="Normal 5 2 4 2" xfId="594"/>
    <cellStyle name="Normal 5 2 5" xfId="595"/>
    <cellStyle name="Normal 5 3" xfId="596"/>
    <cellStyle name="Normal 5 3 2" xfId="597"/>
    <cellStyle name="Normal 5 3 3" xfId="598"/>
    <cellStyle name="Normal 5 4" xfId="599"/>
    <cellStyle name="Normal 5 4 2" xfId="600"/>
    <cellStyle name="Normal 5 4 2 2" xfId="601"/>
    <cellStyle name="Normal 5 4 2 2 2" xfId="602"/>
    <cellStyle name="Normal 5 4 2 3" xfId="603"/>
    <cellStyle name="Normal 5 4 3" xfId="604"/>
    <cellStyle name="Normal 5 4 3 2" xfId="605"/>
    <cellStyle name="Normal 5 4 4" xfId="606"/>
    <cellStyle name="Normal 5 5" xfId="607"/>
    <cellStyle name="Normal 5 5 2" xfId="608"/>
    <cellStyle name="Normal 5 5 2 2" xfId="609"/>
    <cellStyle name="Normal 5 5 3" xfId="610"/>
    <cellStyle name="Normal 5 6" xfId="611"/>
    <cellStyle name="Normal 5 6 2" xfId="612"/>
    <cellStyle name="Normal 5 7" xfId="613"/>
    <cellStyle name="Normal 5 7 2" xfId="614"/>
    <cellStyle name="Normal 5 8" xfId="615"/>
    <cellStyle name="Normal 6" xfId="616"/>
    <cellStyle name="Normal 6 2" xfId="617"/>
    <cellStyle name="Normal 6 2 2" xfId="618"/>
    <cellStyle name="Normal 6 3" xfId="619"/>
    <cellStyle name="Normal 7" xfId="620"/>
    <cellStyle name="Normal 7 2" xfId="621"/>
    <cellStyle name="Normal 7 2 2" xfId="622"/>
    <cellStyle name="Normal 7 2 2 2" xfId="623"/>
    <cellStyle name="Normal 7 2 2 2 2" xfId="624"/>
    <cellStyle name="Normal 7 2 2 3" xfId="625"/>
    <cellStyle name="Normal 7 2 3" xfId="626"/>
    <cellStyle name="Normal 7 2 3 2" xfId="627"/>
    <cellStyle name="Normal 7 2 4" xfId="628"/>
    <cellStyle name="Normal 7 3" xfId="629"/>
    <cellStyle name="Normal 7 3 2" xfId="630"/>
    <cellStyle name="Normal 7 3 2 2" xfId="631"/>
    <cellStyle name="Normal 7 3 3" xfId="632"/>
    <cellStyle name="Normal 7 4" xfId="633"/>
    <cellStyle name="Normal 7 4 2" xfId="634"/>
    <cellStyle name="Normal 7 5" xfId="635"/>
    <cellStyle name="Normal 8" xfId="636"/>
    <cellStyle name="Normal 8 2" xfId="637"/>
    <cellStyle name="Normal 8 2 2" xfId="638"/>
    <cellStyle name="Normal 8 2 2 2" xfId="639"/>
    <cellStyle name="Normal 8 2 2 2 2" xfId="640"/>
    <cellStyle name="Normal 8 2 2 3" xfId="641"/>
    <cellStyle name="Normal 8 2 3" xfId="642"/>
    <cellStyle name="Normal 8 2 3 2" xfId="643"/>
    <cellStyle name="Normal 8 2 4" xfId="644"/>
    <cellStyle name="Normal 8 3" xfId="645"/>
    <cellStyle name="Normal 8 3 2" xfId="646"/>
    <cellStyle name="Normal 8 3 2 2" xfId="647"/>
    <cellStyle name="Normal 8 3 3" xfId="648"/>
    <cellStyle name="Normal 8 4" xfId="649"/>
    <cellStyle name="Normal 8 4 2" xfId="650"/>
    <cellStyle name="Normal 8 5" xfId="651"/>
    <cellStyle name="Normal 9" xfId="652"/>
    <cellStyle name="Normal 9 2" xfId="653"/>
    <cellStyle name="Normal 9 3" xfId="654"/>
    <cellStyle name="Normal 9_MTO 165hp" xfId="655"/>
    <cellStyle name="Normal_Solver Version 2_1" xfId="756"/>
    <cellStyle name="Normal_Solver Version 2_1 2" xfId="759"/>
    <cellStyle name="Note 2" xfId="656"/>
    <cellStyle name="Note 2 2" xfId="657"/>
    <cellStyle name="Note 2 2 2" xfId="658"/>
    <cellStyle name="Note 2 3" xfId="659"/>
    <cellStyle name="Note 3" xfId="660"/>
    <cellStyle name="Note 3 2" xfId="661"/>
    <cellStyle name="Note 4" xfId="662"/>
    <cellStyle name="Note 4 2" xfId="663"/>
    <cellStyle name="Note 5" xfId="664"/>
    <cellStyle name="Note 6" xfId="665"/>
    <cellStyle name="Notiz" xfId="666"/>
    <cellStyle name="Output 2" xfId="667"/>
    <cellStyle name="Output 2 2" xfId="668"/>
    <cellStyle name="Output 2 3" xfId="669"/>
    <cellStyle name="Output 2 4" xfId="670"/>
    <cellStyle name="Output 3" xfId="671"/>
    <cellStyle name="Output 4" xfId="672"/>
    <cellStyle name="Output 5" xfId="673"/>
    <cellStyle name="Output 6" xfId="674"/>
    <cellStyle name="Percent" xfId="1" builtinId="5"/>
    <cellStyle name="Percent 2" xfId="675"/>
    <cellStyle name="Percent 2 2" xfId="676"/>
    <cellStyle name="Percent 2 3" xfId="677"/>
    <cellStyle name="Percent 2 4" xfId="754"/>
    <cellStyle name="Percent 3" xfId="678"/>
    <cellStyle name="Percent 3 2" xfId="679"/>
    <cellStyle name="Percent 4" xfId="680"/>
    <cellStyle name="Percent 4 2" xfId="681"/>
    <cellStyle name="Percent 5" xfId="682"/>
    <cellStyle name="Percent 6" xfId="683"/>
    <cellStyle name="Percent 7" xfId="684"/>
    <cellStyle name="Percent 8" xfId="685"/>
    <cellStyle name="Satisfaisant" xfId="686"/>
    <cellStyle name="Schlecht" xfId="687"/>
    <cellStyle name="Sortie" xfId="688"/>
    <cellStyle name="Standard_500.G.005-SPAN-postprocess.SH.2004-02-18" xfId="689"/>
    <cellStyle name="Style 1" xfId="690"/>
    <cellStyle name="Style 1 2" xfId="691"/>
    <cellStyle name="Texte explicatif" xfId="692"/>
    <cellStyle name="Title 2" xfId="693"/>
    <cellStyle name="Title 2 2" xfId="694"/>
    <cellStyle name="Title 2 3" xfId="695"/>
    <cellStyle name="Title 2 4" xfId="696"/>
    <cellStyle name="Title 3" xfId="697"/>
    <cellStyle name="Title 4" xfId="698"/>
    <cellStyle name="Title 5" xfId="699"/>
    <cellStyle name="Title 6" xfId="700"/>
    <cellStyle name="Titre" xfId="701"/>
    <cellStyle name="Titre 1" xfId="702"/>
    <cellStyle name="Titre 2" xfId="703"/>
    <cellStyle name="Titre 3" xfId="704"/>
    <cellStyle name="Titre 4" xfId="705"/>
    <cellStyle name="Total 2" xfId="706"/>
    <cellStyle name="Total 2 2" xfId="707"/>
    <cellStyle name="Total 2 3" xfId="708"/>
    <cellStyle name="Total 2 4" xfId="709"/>
    <cellStyle name="Total 3" xfId="710"/>
    <cellStyle name="Total 4" xfId="711"/>
    <cellStyle name="Total 5" xfId="712"/>
    <cellStyle name="Total 6" xfId="713"/>
    <cellStyle name="Überschrift" xfId="714"/>
    <cellStyle name="Überschrift 1" xfId="715"/>
    <cellStyle name="Überschrift 2" xfId="716"/>
    <cellStyle name="Überschrift 3" xfId="717"/>
    <cellStyle name="Überschrift 4" xfId="718"/>
    <cellStyle name="UI" xfId="719"/>
    <cellStyle name="UI 2" xfId="720"/>
    <cellStyle name="Vérification" xfId="721"/>
    <cellStyle name="Verknüpfte Zelle" xfId="722"/>
    <cellStyle name="Währung [0]_rig4_surge_data" xfId="723"/>
    <cellStyle name="Währung_rig4_surge_data" xfId="724"/>
    <cellStyle name="Warnender Text" xfId="725"/>
    <cellStyle name="Warning Text 2" xfId="726"/>
    <cellStyle name="Warning Text 2 2" xfId="727"/>
    <cellStyle name="Warning Text 2 3" xfId="728"/>
    <cellStyle name="Warning Text 2 4" xfId="729"/>
    <cellStyle name="Warning Text 3" xfId="730"/>
    <cellStyle name="Warning Text 3 2" xfId="731"/>
    <cellStyle name="Warning Text 4" xfId="732"/>
    <cellStyle name="Warning Text 5" xfId="733"/>
    <cellStyle name="Warning Text 6" xfId="734"/>
    <cellStyle name="Zelle überprüfen" xfId="735"/>
    <cellStyle name="똿뗦먛귟 [0.00]_PRODUCT DETAIL Q1" xfId="736"/>
    <cellStyle name="똿뗦먛귟_PRODUCT DETAIL Q1" xfId="737"/>
    <cellStyle name="믅됞 [0.00]_PRODUCT DETAIL Q1" xfId="738"/>
    <cellStyle name="믅됞_PRODUCT DETAIL Q1" xfId="739"/>
    <cellStyle name="백분율_95" xfId="740"/>
    <cellStyle name="뷭?_BOOKSHIP" xfId="741"/>
    <cellStyle name="콤마 [0]_1.24분기 평가표 " xfId="742"/>
    <cellStyle name="콤마_1.24분기 평가표 " xfId="743"/>
    <cellStyle name="통화 [0]_1.24분기 평가표 " xfId="744"/>
    <cellStyle name="통화_1.24분기 평가표 " xfId="745"/>
    <cellStyle name="표준_(업무)평가단" xfId="746"/>
    <cellStyle name="一般_Book1" xfId="747"/>
    <cellStyle name="千分位[0]_Book1" xfId="748"/>
    <cellStyle name="千分位_Book1" xfId="749"/>
    <cellStyle name="標準_012058_03-Weight20050905" xfId="750"/>
    <cellStyle name="貨幣 [0]_Book1" xfId="751"/>
    <cellStyle name="貨幣_Book1" xfId="752"/>
  </cellStyles>
  <dxfs count="0"/>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_rels/activeX131.xml.rels><?xml version="1.0" encoding="UTF-8" standalone="yes"?>
<Relationships xmlns="http://schemas.openxmlformats.org/package/2006/relationships"><Relationship Id="rId1" Type="http://schemas.microsoft.com/office/2006/relationships/activeXControlBinary" Target="activeX131.bin"/></Relationships>
</file>

<file path=xl/activeX/_rels/activeX132.xml.rels><?xml version="1.0" encoding="UTF-8" standalone="yes"?>
<Relationships xmlns="http://schemas.openxmlformats.org/package/2006/relationships"><Relationship Id="rId1" Type="http://schemas.microsoft.com/office/2006/relationships/activeXControlBinary" Target="activeX132.bin"/></Relationships>
</file>

<file path=xl/activeX/_rels/activeX133.xml.rels><?xml version="1.0" encoding="UTF-8" standalone="yes"?>
<Relationships xmlns="http://schemas.openxmlformats.org/package/2006/relationships"><Relationship Id="rId1" Type="http://schemas.microsoft.com/office/2006/relationships/activeXControlBinary" Target="activeX133.bin"/></Relationships>
</file>

<file path=xl/activeX/_rels/activeX134.xml.rels><?xml version="1.0" encoding="UTF-8" standalone="yes"?>
<Relationships xmlns="http://schemas.openxmlformats.org/package/2006/relationships"><Relationship Id="rId1" Type="http://schemas.microsoft.com/office/2006/relationships/activeXControlBinary" Target="activeX134.bin"/></Relationships>
</file>

<file path=xl/activeX/_rels/activeX135.xml.rels><?xml version="1.0" encoding="UTF-8" standalone="yes"?>
<Relationships xmlns="http://schemas.openxmlformats.org/package/2006/relationships"><Relationship Id="rId1" Type="http://schemas.microsoft.com/office/2006/relationships/activeXControlBinary" Target="activeX135.bin"/></Relationships>
</file>

<file path=xl/activeX/_rels/activeX136.xml.rels><?xml version="1.0" encoding="UTF-8" standalone="yes"?>
<Relationships xmlns="http://schemas.openxmlformats.org/package/2006/relationships"><Relationship Id="rId1" Type="http://schemas.microsoft.com/office/2006/relationships/activeXControlBinary" Target="activeX136.bin"/></Relationships>
</file>

<file path=xl/activeX/_rels/activeX137.xml.rels><?xml version="1.0" encoding="UTF-8" standalone="yes"?>
<Relationships xmlns="http://schemas.openxmlformats.org/package/2006/relationships"><Relationship Id="rId1" Type="http://schemas.microsoft.com/office/2006/relationships/activeXControlBinary" Target="activeX137.bin"/></Relationships>
</file>

<file path=xl/activeX/_rels/activeX138.xml.rels><?xml version="1.0" encoding="UTF-8" standalone="yes"?>
<Relationships xmlns="http://schemas.openxmlformats.org/package/2006/relationships"><Relationship Id="rId1" Type="http://schemas.microsoft.com/office/2006/relationships/activeXControlBinary" Target="activeX138.bin"/></Relationships>
</file>

<file path=xl/activeX/_rels/activeX139.xml.rels><?xml version="1.0" encoding="UTF-8" standalone="yes"?>
<Relationships xmlns="http://schemas.openxmlformats.org/package/2006/relationships"><Relationship Id="rId1" Type="http://schemas.microsoft.com/office/2006/relationships/activeXControlBinary" Target="activeX139.bin"/></Relationships>
</file>

<file path=xl/activeX/_rels/activeX140.xml.rels><?xml version="1.0" encoding="UTF-8" standalone="yes"?>
<Relationships xmlns="http://schemas.openxmlformats.org/package/2006/relationships"><Relationship Id="rId1" Type="http://schemas.microsoft.com/office/2006/relationships/activeXControlBinary" Target="activeX140.bin"/></Relationships>
</file>

<file path=xl/activeX/_rels/activeX141.xml.rels><?xml version="1.0" encoding="UTF-8" standalone="yes"?>
<Relationships xmlns="http://schemas.openxmlformats.org/package/2006/relationships"><Relationship Id="rId1" Type="http://schemas.microsoft.com/office/2006/relationships/activeXControlBinary" Target="activeX141.bin"/></Relationships>
</file>

<file path=xl/activeX/_rels/activeX142.xml.rels><?xml version="1.0" encoding="UTF-8" standalone="yes"?>
<Relationships xmlns="http://schemas.openxmlformats.org/package/2006/relationships"><Relationship Id="rId1" Type="http://schemas.microsoft.com/office/2006/relationships/activeXControlBinary" Target="activeX142.bin"/></Relationships>
</file>

<file path=xl/activeX/_rels/activeX143.xml.rels><?xml version="1.0" encoding="UTF-8" standalone="yes"?>
<Relationships xmlns="http://schemas.openxmlformats.org/package/2006/relationships"><Relationship Id="rId1" Type="http://schemas.microsoft.com/office/2006/relationships/activeXControlBinary" Target="activeX143.bin"/></Relationships>
</file>

<file path=xl/activeX/_rels/activeX144.xml.rels><?xml version="1.0" encoding="UTF-8" standalone="yes"?>
<Relationships xmlns="http://schemas.openxmlformats.org/package/2006/relationships"><Relationship Id="rId1" Type="http://schemas.microsoft.com/office/2006/relationships/activeXControlBinary" Target="activeX144.bin"/></Relationships>
</file>

<file path=xl/activeX/_rels/activeX145.xml.rels><?xml version="1.0" encoding="UTF-8" standalone="yes"?>
<Relationships xmlns="http://schemas.openxmlformats.org/package/2006/relationships"><Relationship Id="rId1" Type="http://schemas.microsoft.com/office/2006/relationships/activeXControlBinary" Target="activeX145.bin"/></Relationships>
</file>

<file path=xl/activeX/_rels/activeX146.xml.rels><?xml version="1.0" encoding="UTF-8" standalone="yes"?>
<Relationships xmlns="http://schemas.openxmlformats.org/package/2006/relationships"><Relationship Id="rId1" Type="http://schemas.microsoft.com/office/2006/relationships/activeXControlBinary" Target="activeX146.bin"/></Relationships>
</file>

<file path=xl/activeX/_rels/activeX147.xml.rels><?xml version="1.0" encoding="UTF-8" standalone="yes"?>
<Relationships xmlns="http://schemas.openxmlformats.org/package/2006/relationships"><Relationship Id="rId1" Type="http://schemas.microsoft.com/office/2006/relationships/activeXControlBinary" Target="activeX147.bin"/></Relationships>
</file>

<file path=xl/activeX/_rels/activeX148.xml.rels><?xml version="1.0" encoding="UTF-8" standalone="yes"?>
<Relationships xmlns="http://schemas.openxmlformats.org/package/2006/relationships"><Relationship Id="rId1" Type="http://schemas.microsoft.com/office/2006/relationships/activeXControlBinary" Target="activeX148.bin"/></Relationships>
</file>

<file path=xl/activeX/_rels/activeX149.xml.rels><?xml version="1.0" encoding="UTF-8" standalone="yes"?>
<Relationships xmlns="http://schemas.openxmlformats.org/package/2006/relationships"><Relationship Id="rId1" Type="http://schemas.microsoft.com/office/2006/relationships/activeXControlBinary" Target="activeX149.bin"/></Relationships>
</file>

<file path=xl/activeX/_rels/activeX150.xml.rels><?xml version="1.0" encoding="UTF-8" standalone="yes"?>
<Relationships xmlns="http://schemas.openxmlformats.org/package/2006/relationships"><Relationship Id="rId1" Type="http://schemas.microsoft.com/office/2006/relationships/activeXControlBinary" Target="activeX150.bin"/></Relationships>
</file>

<file path=xl/activeX/_rels/activeX151.xml.rels><?xml version="1.0" encoding="UTF-8" standalone="yes"?>
<Relationships xmlns="http://schemas.openxmlformats.org/package/2006/relationships"><Relationship Id="rId1" Type="http://schemas.microsoft.com/office/2006/relationships/activeXControlBinary" Target="activeX151.bin"/></Relationships>
</file>

<file path=xl/activeX/_rels/activeX152.xml.rels><?xml version="1.0" encoding="UTF-8" standalone="yes"?>
<Relationships xmlns="http://schemas.openxmlformats.org/package/2006/relationships"><Relationship Id="rId1" Type="http://schemas.microsoft.com/office/2006/relationships/activeXControlBinary" Target="activeX152.bin"/></Relationships>
</file>

<file path=xl/activeX/_rels/activeX153.xml.rels><?xml version="1.0" encoding="UTF-8" standalone="yes"?>
<Relationships xmlns="http://schemas.openxmlformats.org/package/2006/relationships"><Relationship Id="rId1" Type="http://schemas.microsoft.com/office/2006/relationships/activeXControlBinary" Target="activeX153.bin"/></Relationships>
</file>

<file path=xl/activeX/_rels/activeX154.xml.rels><?xml version="1.0" encoding="UTF-8" standalone="yes"?>
<Relationships xmlns="http://schemas.openxmlformats.org/package/2006/relationships"><Relationship Id="rId1" Type="http://schemas.microsoft.com/office/2006/relationships/activeXControlBinary" Target="activeX154.bin"/></Relationships>
</file>

<file path=xl/activeX/_rels/activeX155.xml.rels><?xml version="1.0" encoding="UTF-8" standalone="yes"?>
<Relationships xmlns="http://schemas.openxmlformats.org/package/2006/relationships"><Relationship Id="rId1" Type="http://schemas.microsoft.com/office/2006/relationships/activeXControlBinary" Target="activeX155.bin"/></Relationships>
</file>

<file path=xl/activeX/_rels/activeX156.xml.rels><?xml version="1.0" encoding="UTF-8" standalone="yes"?>
<Relationships xmlns="http://schemas.openxmlformats.org/package/2006/relationships"><Relationship Id="rId1" Type="http://schemas.microsoft.com/office/2006/relationships/activeXControlBinary" Target="activeX156.bin"/></Relationships>
</file>

<file path=xl/activeX/_rels/activeX157.xml.rels><?xml version="1.0" encoding="UTF-8" standalone="yes"?>
<Relationships xmlns="http://schemas.openxmlformats.org/package/2006/relationships"><Relationship Id="rId1" Type="http://schemas.microsoft.com/office/2006/relationships/activeXControlBinary" Target="activeX157.bin"/></Relationships>
</file>

<file path=xl/activeX/_rels/activeX158.xml.rels><?xml version="1.0" encoding="UTF-8" standalone="yes"?>
<Relationships xmlns="http://schemas.openxmlformats.org/package/2006/relationships"><Relationship Id="rId1" Type="http://schemas.microsoft.com/office/2006/relationships/activeXControlBinary" Target="activeX158.bin"/></Relationships>
</file>

<file path=xl/activeX/_rels/activeX159.xml.rels><?xml version="1.0" encoding="UTF-8" standalone="yes"?>
<Relationships xmlns="http://schemas.openxmlformats.org/package/2006/relationships"><Relationship Id="rId1" Type="http://schemas.microsoft.com/office/2006/relationships/activeXControlBinary" Target="activeX159.bin"/></Relationships>
</file>

<file path=xl/activeX/_rels/activeX160.xml.rels><?xml version="1.0" encoding="UTF-8" standalone="yes"?>
<Relationships xmlns="http://schemas.openxmlformats.org/package/2006/relationships"><Relationship Id="rId1" Type="http://schemas.microsoft.com/office/2006/relationships/activeXControlBinary" Target="activeX160.bin"/></Relationships>
</file>

<file path=xl/activeX/_rels/activeX161.xml.rels><?xml version="1.0" encoding="UTF-8" standalone="yes"?>
<Relationships xmlns="http://schemas.openxmlformats.org/package/2006/relationships"><Relationship Id="rId1" Type="http://schemas.microsoft.com/office/2006/relationships/activeXControlBinary" Target="activeX161.bin"/></Relationships>
</file>

<file path=xl/activeX/_rels/activeX162.xml.rels><?xml version="1.0" encoding="UTF-8" standalone="yes"?>
<Relationships xmlns="http://schemas.openxmlformats.org/package/2006/relationships"><Relationship Id="rId1" Type="http://schemas.microsoft.com/office/2006/relationships/activeXControlBinary" Target="activeX162.bin"/></Relationships>
</file>

<file path=xl/activeX/_rels/activeX163.xml.rels><?xml version="1.0" encoding="UTF-8" standalone="yes"?>
<Relationships xmlns="http://schemas.openxmlformats.org/package/2006/relationships"><Relationship Id="rId1" Type="http://schemas.microsoft.com/office/2006/relationships/activeXControlBinary" Target="activeX163.bin"/></Relationships>
</file>

<file path=xl/activeX/_rels/activeX164.xml.rels><?xml version="1.0" encoding="UTF-8" standalone="yes"?>
<Relationships xmlns="http://schemas.openxmlformats.org/package/2006/relationships"><Relationship Id="rId1" Type="http://schemas.microsoft.com/office/2006/relationships/activeXControlBinary" Target="activeX164.bin"/></Relationships>
</file>

<file path=xl/activeX/_rels/activeX165.xml.rels><?xml version="1.0" encoding="UTF-8" standalone="yes"?>
<Relationships xmlns="http://schemas.openxmlformats.org/package/2006/relationships"><Relationship Id="rId1" Type="http://schemas.microsoft.com/office/2006/relationships/activeXControlBinary" Target="activeX165.bin"/></Relationships>
</file>

<file path=xl/activeX/_rels/activeX166.xml.rels><?xml version="1.0" encoding="UTF-8" standalone="yes"?>
<Relationships xmlns="http://schemas.openxmlformats.org/package/2006/relationships"><Relationship Id="rId1" Type="http://schemas.microsoft.com/office/2006/relationships/activeXControlBinary" Target="activeX166.bin"/></Relationships>
</file>

<file path=xl/activeX/_rels/activeX167.xml.rels><?xml version="1.0" encoding="UTF-8" standalone="yes"?>
<Relationships xmlns="http://schemas.openxmlformats.org/package/2006/relationships"><Relationship Id="rId1" Type="http://schemas.microsoft.com/office/2006/relationships/activeXControlBinary" Target="activeX167.bin"/></Relationships>
</file>

<file path=xl/activeX/_rels/activeX168.xml.rels><?xml version="1.0" encoding="UTF-8" standalone="yes"?>
<Relationships xmlns="http://schemas.openxmlformats.org/package/2006/relationships"><Relationship Id="rId1" Type="http://schemas.microsoft.com/office/2006/relationships/activeXControlBinary" Target="activeX168.bin"/></Relationships>
</file>

<file path=xl/activeX/_rels/activeX169.xml.rels><?xml version="1.0" encoding="UTF-8" standalone="yes"?>
<Relationships xmlns="http://schemas.openxmlformats.org/package/2006/relationships"><Relationship Id="rId1" Type="http://schemas.microsoft.com/office/2006/relationships/activeXControlBinary" Target="activeX169.bin"/></Relationships>
</file>

<file path=xl/activeX/_rels/activeX170.xml.rels><?xml version="1.0" encoding="UTF-8" standalone="yes"?>
<Relationships xmlns="http://schemas.openxmlformats.org/package/2006/relationships"><Relationship Id="rId1" Type="http://schemas.microsoft.com/office/2006/relationships/activeXControlBinary" Target="activeX170.bin"/></Relationships>
</file>

<file path=xl/activeX/_rels/activeX171.xml.rels><?xml version="1.0" encoding="UTF-8" standalone="yes"?>
<Relationships xmlns="http://schemas.openxmlformats.org/package/2006/relationships"><Relationship Id="rId1" Type="http://schemas.microsoft.com/office/2006/relationships/activeXControlBinary" Target="activeX171.bin"/></Relationships>
</file>

<file path=xl/activeX/_rels/activeX172.xml.rels><?xml version="1.0" encoding="UTF-8" standalone="yes"?>
<Relationships xmlns="http://schemas.openxmlformats.org/package/2006/relationships"><Relationship Id="rId1" Type="http://schemas.microsoft.com/office/2006/relationships/activeXControlBinary" Target="activeX172.bin"/></Relationships>
</file>

<file path=xl/activeX/_rels/activeX173.xml.rels><?xml version="1.0" encoding="UTF-8" standalone="yes"?>
<Relationships xmlns="http://schemas.openxmlformats.org/package/2006/relationships"><Relationship Id="rId1" Type="http://schemas.microsoft.com/office/2006/relationships/activeXControlBinary" Target="activeX173.bin"/></Relationships>
</file>

<file path=xl/activeX/_rels/activeX174.xml.rels><?xml version="1.0" encoding="UTF-8" standalone="yes"?>
<Relationships xmlns="http://schemas.openxmlformats.org/package/2006/relationships"><Relationship Id="rId1" Type="http://schemas.microsoft.com/office/2006/relationships/activeXControlBinary" Target="activeX174.bin"/></Relationships>
</file>

<file path=xl/activeX/_rels/activeX175.xml.rels><?xml version="1.0" encoding="UTF-8" standalone="yes"?>
<Relationships xmlns="http://schemas.openxmlformats.org/package/2006/relationships"><Relationship Id="rId1" Type="http://schemas.microsoft.com/office/2006/relationships/activeXControlBinary" Target="activeX175.bin"/></Relationships>
</file>

<file path=xl/activeX/_rels/activeX176.xml.rels><?xml version="1.0" encoding="UTF-8" standalone="yes"?>
<Relationships xmlns="http://schemas.openxmlformats.org/package/2006/relationships"><Relationship Id="rId1" Type="http://schemas.microsoft.com/office/2006/relationships/activeXControlBinary" Target="activeX176.bin"/></Relationships>
</file>

<file path=xl/activeX/_rels/activeX177.xml.rels><?xml version="1.0" encoding="UTF-8" standalone="yes"?>
<Relationships xmlns="http://schemas.openxmlformats.org/package/2006/relationships"><Relationship Id="rId1" Type="http://schemas.microsoft.com/office/2006/relationships/activeXControlBinary" Target="activeX177.bin"/></Relationships>
</file>

<file path=xl/activeX/_rels/activeX178.xml.rels><?xml version="1.0" encoding="UTF-8" standalone="yes"?>
<Relationships xmlns="http://schemas.openxmlformats.org/package/2006/relationships"><Relationship Id="rId1" Type="http://schemas.microsoft.com/office/2006/relationships/activeXControlBinary" Target="activeX178.bin"/></Relationships>
</file>

<file path=xl/activeX/_rels/activeX179.xml.rels><?xml version="1.0" encoding="UTF-8" standalone="yes"?>
<Relationships xmlns="http://schemas.openxmlformats.org/package/2006/relationships"><Relationship Id="rId1" Type="http://schemas.microsoft.com/office/2006/relationships/activeXControlBinary" Target="activeX179.bin"/></Relationships>
</file>

<file path=xl/activeX/_rels/activeX180.xml.rels><?xml version="1.0" encoding="UTF-8" standalone="yes"?>
<Relationships xmlns="http://schemas.openxmlformats.org/package/2006/relationships"><Relationship Id="rId1" Type="http://schemas.microsoft.com/office/2006/relationships/activeXControlBinary" Target="activeX180.bin"/></Relationships>
</file>

<file path=xl/activeX/_rels/activeX181.xml.rels><?xml version="1.0" encoding="UTF-8" standalone="yes"?>
<Relationships xmlns="http://schemas.openxmlformats.org/package/2006/relationships"><Relationship Id="rId1" Type="http://schemas.microsoft.com/office/2006/relationships/activeXControlBinary" Target="activeX181.bin"/></Relationships>
</file>

<file path=xl/activeX/_rels/activeX182.xml.rels><?xml version="1.0" encoding="UTF-8" standalone="yes"?>
<Relationships xmlns="http://schemas.openxmlformats.org/package/2006/relationships"><Relationship Id="rId1" Type="http://schemas.microsoft.com/office/2006/relationships/activeXControlBinary" Target="activeX182.bin"/></Relationships>
</file>

<file path=xl/activeX/_rels/activeX183.xml.rels><?xml version="1.0" encoding="UTF-8" standalone="yes"?>
<Relationships xmlns="http://schemas.openxmlformats.org/package/2006/relationships"><Relationship Id="rId1" Type="http://schemas.microsoft.com/office/2006/relationships/activeXControlBinary" Target="activeX183.bin"/></Relationships>
</file>

<file path=xl/activeX/_rels/activeX184.xml.rels><?xml version="1.0" encoding="UTF-8" standalone="yes"?>
<Relationships xmlns="http://schemas.openxmlformats.org/package/2006/relationships"><Relationship Id="rId1" Type="http://schemas.microsoft.com/office/2006/relationships/activeXControlBinary" Target="activeX184.bin"/></Relationships>
</file>

<file path=xl/activeX/_rels/activeX185.xml.rels><?xml version="1.0" encoding="UTF-8" standalone="yes"?>
<Relationships xmlns="http://schemas.openxmlformats.org/package/2006/relationships"><Relationship Id="rId1" Type="http://schemas.microsoft.com/office/2006/relationships/activeXControlBinary" Target="activeX185.bin"/></Relationships>
</file>

<file path=xl/activeX/_rels/activeX186.xml.rels><?xml version="1.0" encoding="UTF-8" standalone="yes"?>
<Relationships xmlns="http://schemas.openxmlformats.org/package/2006/relationships"><Relationship Id="rId1" Type="http://schemas.microsoft.com/office/2006/relationships/activeXControlBinary" Target="activeX186.bin"/></Relationships>
</file>

<file path=xl/activeX/_rels/activeX187.xml.rels><?xml version="1.0" encoding="UTF-8" standalone="yes"?>
<Relationships xmlns="http://schemas.openxmlformats.org/package/2006/relationships"><Relationship Id="rId1" Type="http://schemas.microsoft.com/office/2006/relationships/activeXControlBinary" Target="activeX187.bin"/></Relationships>
</file>

<file path=xl/activeX/_rels/activeX188.xml.rels><?xml version="1.0" encoding="UTF-8" standalone="yes"?>
<Relationships xmlns="http://schemas.openxmlformats.org/package/2006/relationships"><Relationship Id="rId1" Type="http://schemas.microsoft.com/office/2006/relationships/activeXControlBinary" Target="activeX188.bin"/></Relationships>
</file>

<file path=xl/activeX/_rels/activeX189.xml.rels><?xml version="1.0" encoding="UTF-8" standalone="yes"?>
<Relationships xmlns="http://schemas.openxmlformats.org/package/2006/relationships"><Relationship Id="rId1" Type="http://schemas.microsoft.com/office/2006/relationships/activeXControlBinary" Target="activeX189.bin"/></Relationships>
</file>

<file path=xl/activeX/_rels/activeX190.xml.rels><?xml version="1.0" encoding="UTF-8" standalone="yes"?>
<Relationships xmlns="http://schemas.openxmlformats.org/package/2006/relationships"><Relationship Id="rId1" Type="http://schemas.microsoft.com/office/2006/relationships/activeXControlBinary" Target="activeX190.bin"/></Relationships>
</file>

<file path=xl/activeX/_rels/activeX191.xml.rels><?xml version="1.0" encoding="UTF-8" standalone="yes"?>
<Relationships xmlns="http://schemas.openxmlformats.org/package/2006/relationships"><Relationship Id="rId1" Type="http://schemas.microsoft.com/office/2006/relationships/activeXControlBinary" Target="activeX191.bin"/></Relationships>
</file>

<file path=xl/activeX/_rels/activeX192.xml.rels><?xml version="1.0" encoding="UTF-8" standalone="yes"?>
<Relationships xmlns="http://schemas.openxmlformats.org/package/2006/relationships"><Relationship Id="rId1" Type="http://schemas.microsoft.com/office/2006/relationships/activeXControlBinary" Target="activeX192.bin"/></Relationships>
</file>

<file path=xl/activeX/_rels/activeX193.xml.rels><?xml version="1.0" encoding="UTF-8" standalone="yes"?>
<Relationships xmlns="http://schemas.openxmlformats.org/package/2006/relationships"><Relationship Id="rId1" Type="http://schemas.microsoft.com/office/2006/relationships/activeXControlBinary" Target="activeX193.bin"/></Relationships>
</file>

<file path=xl/activeX/_rels/activeX194.xml.rels><?xml version="1.0" encoding="UTF-8" standalone="yes"?>
<Relationships xmlns="http://schemas.openxmlformats.org/package/2006/relationships"><Relationship Id="rId1" Type="http://schemas.microsoft.com/office/2006/relationships/activeXControlBinary" Target="activeX194.bin"/></Relationships>
</file>

<file path=xl/activeX/_rels/activeX195.xml.rels><?xml version="1.0" encoding="UTF-8" standalone="yes"?>
<Relationships xmlns="http://schemas.openxmlformats.org/package/2006/relationships"><Relationship Id="rId1" Type="http://schemas.microsoft.com/office/2006/relationships/activeXControlBinary" Target="activeX195.bin"/></Relationships>
</file>

<file path=xl/activeX/_rels/activeX196.xml.rels><?xml version="1.0" encoding="UTF-8" standalone="yes"?>
<Relationships xmlns="http://schemas.openxmlformats.org/package/2006/relationships"><Relationship Id="rId1" Type="http://schemas.microsoft.com/office/2006/relationships/activeXControlBinary" Target="activeX196.bin"/></Relationships>
</file>

<file path=xl/activeX/_rels/activeX197.xml.rels><?xml version="1.0" encoding="UTF-8" standalone="yes"?>
<Relationships xmlns="http://schemas.openxmlformats.org/package/2006/relationships"><Relationship Id="rId1" Type="http://schemas.microsoft.com/office/2006/relationships/activeXControlBinary" Target="activeX197.bin"/></Relationships>
</file>

<file path=xl/activeX/_rels/activeX198.xml.rels><?xml version="1.0" encoding="UTF-8" standalone="yes"?>
<Relationships xmlns="http://schemas.openxmlformats.org/package/2006/relationships"><Relationship Id="rId1" Type="http://schemas.microsoft.com/office/2006/relationships/activeXControlBinary" Target="activeX198.bin"/></Relationships>
</file>

<file path=xl/activeX/_rels/activeX199.xml.rels><?xml version="1.0" encoding="UTF-8" standalone="yes"?>
<Relationships xmlns="http://schemas.openxmlformats.org/package/2006/relationships"><Relationship Id="rId1" Type="http://schemas.microsoft.com/office/2006/relationships/activeXControlBinary" Target="activeX199.bin"/></Relationships>
</file>

<file path=xl/activeX/_rels/activeX200.xml.rels><?xml version="1.0" encoding="UTF-8" standalone="yes"?>
<Relationships xmlns="http://schemas.openxmlformats.org/package/2006/relationships"><Relationship Id="rId1" Type="http://schemas.microsoft.com/office/2006/relationships/activeXControlBinary" Target="activeX200.bin"/></Relationships>
</file>

<file path=xl/activeX/_rels/activeX201.xml.rels><?xml version="1.0" encoding="UTF-8" standalone="yes"?>
<Relationships xmlns="http://schemas.openxmlformats.org/package/2006/relationships"><Relationship Id="rId1" Type="http://schemas.microsoft.com/office/2006/relationships/activeXControlBinary" Target="activeX201.bin"/></Relationships>
</file>

<file path=xl/activeX/_rels/activeX202.xml.rels><?xml version="1.0" encoding="UTF-8" standalone="yes"?>
<Relationships xmlns="http://schemas.openxmlformats.org/package/2006/relationships"><Relationship Id="rId1" Type="http://schemas.microsoft.com/office/2006/relationships/activeXControlBinary" Target="activeX202.bin"/></Relationships>
</file>

<file path=xl/activeX/_rels/activeX203.xml.rels><?xml version="1.0" encoding="UTF-8" standalone="yes"?>
<Relationships xmlns="http://schemas.openxmlformats.org/package/2006/relationships"><Relationship Id="rId1" Type="http://schemas.microsoft.com/office/2006/relationships/activeXControlBinary" Target="activeX203.bin"/></Relationships>
</file>

<file path=xl/activeX/_rels/activeX204.xml.rels><?xml version="1.0" encoding="UTF-8" standalone="yes"?>
<Relationships xmlns="http://schemas.openxmlformats.org/package/2006/relationships"><Relationship Id="rId1" Type="http://schemas.microsoft.com/office/2006/relationships/activeXControlBinary" Target="activeX204.bin"/></Relationships>
</file>

<file path=xl/activeX/_rels/activeX205.xml.rels><?xml version="1.0" encoding="UTF-8" standalone="yes"?>
<Relationships xmlns="http://schemas.openxmlformats.org/package/2006/relationships"><Relationship Id="rId1" Type="http://schemas.microsoft.com/office/2006/relationships/activeXControlBinary" Target="activeX205.bin"/></Relationships>
</file>

<file path=xl/activeX/_rels/activeX206.xml.rels><?xml version="1.0" encoding="UTF-8" standalone="yes"?>
<Relationships xmlns="http://schemas.openxmlformats.org/package/2006/relationships"><Relationship Id="rId1" Type="http://schemas.microsoft.com/office/2006/relationships/activeXControlBinary" Target="activeX206.bin"/></Relationships>
</file>

<file path=xl/activeX/_rels/activeX207.xml.rels><?xml version="1.0" encoding="UTF-8" standalone="yes"?>
<Relationships xmlns="http://schemas.openxmlformats.org/package/2006/relationships"><Relationship Id="rId1" Type="http://schemas.microsoft.com/office/2006/relationships/activeXControlBinary" Target="activeX207.bin"/></Relationships>
</file>

<file path=xl/activeX/_rels/activeX208.xml.rels><?xml version="1.0" encoding="UTF-8" standalone="yes"?>
<Relationships xmlns="http://schemas.openxmlformats.org/package/2006/relationships"><Relationship Id="rId1" Type="http://schemas.microsoft.com/office/2006/relationships/activeXControlBinary" Target="activeX208.bin"/></Relationships>
</file>

<file path=xl/activeX/_rels/activeX209.xml.rels><?xml version="1.0" encoding="UTF-8" standalone="yes"?>
<Relationships xmlns="http://schemas.openxmlformats.org/package/2006/relationships"><Relationship Id="rId1" Type="http://schemas.microsoft.com/office/2006/relationships/activeXControlBinary" Target="activeX209.bin"/></Relationships>
</file>

<file path=xl/activeX/_rels/activeX210.xml.rels><?xml version="1.0" encoding="UTF-8" standalone="yes"?>
<Relationships xmlns="http://schemas.openxmlformats.org/package/2006/relationships"><Relationship Id="rId1" Type="http://schemas.microsoft.com/office/2006/relationships/activeXControlBinary" Target="activeX210.bin"/></Relationships>
</file>

<file path=xl/activeX/_rels/activeX211.xml.rels><?xml version="1.0" encoding="UTF-8" standalone="yes"?>
<Relationships xmlns="http://schemas.openxmlformats.org/package/2006/relationships"><Relationship Id="rId1" Type="http://schemas.microsoft.com/office/2006/relationships/activeXControlBinary" Target="activeX211.bin"/></Relationships>
</file>

<file path=xl/activeX/_rels/activeX212.xml.rels><?xml version="1.0" encoding="UTF-8" standalone="yes"?>
<Relationships xmlns="http://schemas.openxmlformats.org/package/2006/relationships"><Relationship Id="rId1" Type="http://schemas.microsoft.com/office/2006/relationships/activeXControlBinary" Target="activeX212.bin"/></Relationships>
</file>

<file path=xl/activeX/_rels/activeX213.xml.rels><?xml version="1.0" encoding="UTF-8" standalone="yes"?>
<Relationships xmlns="http://schemas.openxmlformats.org/package/2006/relationships"><Relationship Id="rId1" Type="http://schemas.microsoft.com/office/2006/relationships/activeXControlBinary" Target="activeX213.bin"/></Relationships>
</file>

<file path=xl/activeX/_rels/activeX214.xml.rels><?xml version="1.0" encoding="UTF-8" standalone="yes"?>
<Relationships xmlns="http://schemas.openxmlformats.org/package/2006/relationships"><Relationship Id="rId1" Type="http://schemas.microsoft.com/office/2006/relationships/activeXControlBinary" Target="activeX214.bin"/></Relationships>
</file>

<file path=xl/activeX/_rels/activeX215.xml.rels><?xml version="1.0" encoding="UTF-8" standalone="yes"?>
<Relationships xmlns="http://schemas.openxmlformats.org/package/2006/relationships"><Relationship Id="rId1" Type="http://schemas.microsoft.com/office/2006/relationships/activeXControlBinary" Target="activeX215.bin"/></Relationships>
</file>

<file path=xl/activeX/_rels/activeX216.xml.rels><?xml version="1.0" encoding="UTF-8" standalone="yes"?>
<Relationships xmlns="http://schemas.openxmlformats.org/package/2006/relationships"><Relationship Id="rId1" Type="http://schemas.microsoft.com/office/2006/relationships/activeXControlBinary" Target="activeX216.bin"/></Relationships>
</file>

<file path=xl/activeX/_rels/activeX217.xml.rels><?xml version="1.0" encoding="UTF-8" standalone="yes"?>
<Relationships xmlns="http://schemas.openxmlformats.org/package/2006/relationships"><Relationship Id="rId1" Type="http://schemas.microsoft.com/office/2006/relationships/activeXControlBinary" Target="activeX217.bin"/></Relationships>
</file>

<file path=xl/activeX/_rels/activeX218.xml.rels><?xml version="1.0" encoding="UTF-8" standalone="yes"?>
<Relationships xmlns="http://schemas.openxmlformats.org/package/2006/relationships"><Relationship Id="rId1" Type="http://schemas.microsoft.com/office/2006/relationships/activeXControlBinary" Target="activeX218.bin"/></Relationships>
</file>

<file path=xl/activeX/_rels/activeX219.xml.rels><?xml version="1.0" encoding="UTF-8" standalone="yes"?>
<Relationships xmlns="http://schemas.openxmlformats.org/package/2006/relationships"><Relationship Id="rId1" Type="http://schemas.microsoft.com/office/2006/relationships/activeXControlBinary" Target="activeX219.bin"/></Relationships>
</file>

<file path=xl/activeX/_rels/activeX220.xml.rels><?xml version="1.0" encoding="UTF-8" standalone="yes"?>
<Relationships xmlns="http://schemas.openxmlformats.org/package/2006/relationships"><Relationship Id="rId1" Type="http://schemas.microsoft.com/office/2006/relationships/activeXControlBinary" Target="activeX220.bin"/></Relationships>
</file>

<file path=xl/activeX/_rels/activeX221.xml.rels><?xml version="1.0" encoding="UTF-8" standalone="yes"?>
<Relationships xmlns="http://schemas.openxmlformats.org/package/2006/relationships"><Relationship Id="rId1" Type="http://schemas.microsoft.com/office/2006/relationships/activeXControlBinary" Target="activeX221.bin"/></Relationships>
</file>

<file path=xl/activeX/_rels/activeX222.xml.rels><?xml version="1.0" encoding="UTF-8" standalone="yes"?>
<Relationships xmlns="http://schemas.openxmlformats.org/package/2006/relationships"><Relationship Id="rId1" Type="http://schemas.microsoft.com/office/2006/relationships/activeXControlBinary" Target="activeX222.bin"/></Relationships>
</file>

<file path=xl/activeX/_rels/activeX223.xml.rels><?xml version="1.0" encoding="UTF-8" standalone="yes"?>
<Relationships xmlns="http://schemas.openxmlformats.org/package/2006/relationships"><Relationship Id="rId1" Type="http://schemas.microsoft.com/office/2006/relationships/activeXControlBinary" Target="activeX223.bin"/></Relationships>
</file>

<file path=xl/activeX/_rels/activeX224.xml.rels><?xml version="1.0" encoding="UTF-8" standalone="yes"?>
<Relationships xmlns="http://schemas.openxmlformats.org/package/2006/relationships"><Relationship Id="rId1" Type="http://schemas.microsoft.com/office/2006/relationships/activeXControlBinary" Target="activeX224.bin"/></Relationships>
</file>

<file path=xl/activeX/_rels/activeX225.xml.rels><?xml version="1.0" encoding="UTF-8" standalone="yes"?>
<Relationships xmlns="http://schemas.openxmlformats.org/package/2006/relationships"><Relationship Id="rId1" Type="http://schemas.microsoft.com/office/2006/relationships/activeXControlBinary" Target="activeX225.bin"/></Relationships>
</file>

<file path=xl/activeX/_rels/activeX226.xml.rels><?xml version="1.0" encoding="UTF-8" standalone="yes"?>
<Relationships xmlns="http://schemas.openxmlformats.org/package/2006/relationships"><Relationship Id="rId1" Type="http://schemas.microsoft.com/office/2006/relationships/activeXControlBinary" Target="activeX226.bin"/></Relationships>
</file>

<file path=xl/activeX/_rels/activeX227.xml.rels><?xml version="1.0" encoding="UTF-8" standalone="yes"?>
<Relationships xmlns="http://schemas.openxmlformats.org/package/2006/relationships"><Relationship Id="rId1" Type="http://schemas.microsoft.com/office/2006/relationships/activeXControlBinary" Target="activeX227.bin"/></Relationships>
</file>

<file path=xl/activeX/_rels/activeX228.xml.rels><?xml version="1.0" encoding="UTF-8" standalone="yes"?>
<Relationships xmlns="http://schemas.openxmlformats.org/package/2006/relationships"><Relationship Id="rId1" Type="http://schemas.microsoft.com/office/2006/relationships/activeXControlBinary" Target="activeX228.bin"/></Relationships>
</file>

<file path=xl/activeX/_rels/activeX229.xml.rels><?xml version="1.0" encoding="UTF-8" standalone="yes"?>
<Relationships xmlns="http://schemas.openxmlformats.org/package/2006/relationships"><Relationship Id="rId1" Type="http://schemas.microsoft.com/office/2006/relationships/activeXControlBinary" Target="activeX229.bin"/></Relationships>
</file>

<file path=xl/activeX/_rels/activeX230.xml.rels><?xml version="1.0" encoding="UTF-8" standalone="yes"?>
<Relationships xmlns="http://schemas.openxmlformats.org/package/2006/relationships"><Relationship Id="rId1" Type="http://schemas.microsoft.com/office/2006/relationships/activeXControlBinary" Target="activeX230.bin"/></Relationships>
</file>

<file path=xl/activeX/_rels/activeX231.xml.rels><?xml version="1.0" encoding="UTF-8" standalone="yes"?>
<Relationships xmlns="http://schemas.openxmlformats.org/package/2006/relationships"><Relationship Id="rId1" Type="http://schemas.microsoft.com/office/2006/relationships/activeXControlBinary" Target="activeX231.bin"/></Relationships>
</file>

<file path=xl/activeX/_rels/activeX232.xml.rels><?xml version="1.0" encoding="UTF-8" standalone="yes"?>
<Relationships xmlns="http://schemas.openxmlformats.org/package/2006/relationships"><Relationship Id="rId1" Type="http://schemas.microsoft.com/office/2006/relationships/activeXControlBinary" Target="activeX232.bin"/></Relationships>
</file>

<file path=xl/activeX/_rels/activeX233.xml.rels><?xml version="1.0" encoding="UTF-8" standalone="yes"?>
<Relationships xmlns="http://schemas.openxmlformats.org/package/2006/relationships"><Relationship Id="rId1" Type="http://schemas.microsoft.com/office/2006/relationships/activeXControlBinary" Target="activeX233.bin"/></Relationships>
</file>

<file path=xl/activeX/_rels/activeX234.xml.rels><?xml version="1.0" encoding="UTF-8" standalone="yes"?>
<Relationships xmlns="http://schemas.openxmlformats.org/package/2006/relationships"><Relationship Id="rId1" Type="http://schemas.microsoft.com/office/2006/relationships/activeXControlBinary" Target="activeX234.bin"/></Relationships>
</file>

<file path=xl/activeX/_rels/activeX235.xml.rels><?xml version="1.0" encoding="UTF-8" standalone="yes"?>
<Relationships xmlns="http://schemas.openxmlformats.org/package/2006/relationships"><Relationship Id="rId1" Type="http://schemas.microsoft.com/office/2006/relationships/activeXControlBinary" Target="activeX235.bin"/></Relationships>
</file>

<file path=xl/activeX/_rels/activeX236.xml.rels><?xml version="1.0" encoding="UTF-8" standalone="yes"?>
<Relationships xmlns="http://schemas.openxmlformats.org/package/2006/relationships"><Relationship Id="rId1" Type="http://schemas.microsoft.com/office/2006/relationships/activeXControlBinary" Target="activeX236.bin"/></Relationships>
</file>

<file path=xl/activeX/_rels/activeX237.xml.rels><?xml version="1.0" encoding="UTF-8" standalone="yes"?>
<Relationships xmlns="http://schemas.openxmlformats.org/package/2006/relationships"><Relationship Id="rId1" Type="http://schemas.microsoft.com/office/2006/relationships/activeXControlBinary" Target="activeX237.bin"/></Relationships>
</file>

<file path=xl/activeX/_rels/activeX238.xml.rels><?xml version="1.0" encoding="UTF-8" standalone="yes"?>
<Relationships xmlns="http://schemas.openxmlformats.org/package/2006/relationships"><Relationship Id="rId1" Type="http://schemas.microsoft.com/office/2006/relationships/activeXControlBinary" Target="activeX238.bin"/></Relationships>
</file>

<file path=xl/activeX/_rels/activeX239.xml.rels><?xml version="1.0" encoding="UTF-8" standalone="yes"?>
<Relationships xmlns="http://schemas.openxmlformats.org/package/2006/relationships"><Relationship Id="rId1" Type="http://schemas.microsoft.com/office/2006/relationships/activeXControlBinary" Target="activeX239.bin"/></Relationships>
</file>

<file path=xl/activeX/_rels/activeX240.xml.rels><?xml version="1.0" encoding="UTF-8" standalone="yes"?>
<Relationships xmlns="http://schemas.openxmlformats.org/package/2006/relationships"><Relationship Id="rId1" Type="http://schemas.microsoft.com/office/2006/relationships/activeXControlBinary" Target="activeX240.bin"/></Relationships>
</file>

<file path=xl/activeX/_rels/activeX241.xml.rels><?xml version="1.0" encoding="UTF-8" standalone="yes"?>
<Relationships xmlns="http://schemas.openxmlformats.org/package/2006/relationships"><Relationship Id="rId1" Type="http://schemas.microsoft.com/office/2006/relationships/activeXControlBinary" Target="activeX241.bin"/></Relationships>
</file>

<file path=xl/activeX/_rels/activeX242.xml.rels><?xml version="1.0" encoding="UTF-8" standalone="yes"?>
<Relationships xmlns="http://schemas.openxmlformats.org/package/2006/relationships"><Relationship Id="rId1" Type="http://schemas.microsoft.com/office/2006/relationships/activeXControlBinary" Target="activeX242.bin"/></Relationships>
</file>

<file path=xl/activeX/_rels/activeX243.xml.rels><?xml version="1.0" encoding="UTF-8" standalone="yes"?>
<Relationships xmlns="http://schemas.openxmlformats.org/package/2006/relationships"><Relationship Id="rId1" Type="http://schemas.microsoft.com/office/2006/relationships/activeXControlBinary" Target="activeX243.bin"/></Relationships>
</file>

<file path=xl/activeX/_rels/activeX244.xml.rels><?xml version="1.0" encoding="UTF-8" standalone="yes"?>
<Relationships xmlns="http://schemas.openxmlformats.org/package/2006/relationships"><Relationship Id="rId1" Type="http://schemas.microsoft.com/office/2006/relationships/activeXControlBinary" Target="activeX244.bin"/></Relationships>
</file>

<file path=xl/activeX/_rels/activeX245.xml.rels><?xml version="1.0" encoding="UTF-8" standalone="yes"?>
<Relationships xmlns="http://schemas.openxmlformats.org/package/2006/relationships"><Relationship Id="rId1" Type="http://schemas.microsoft.com/office/2006/relationships/activeXControlBinary" Target="activeX245.bin"/></Relationships>
</file>

<file path=xl/activeX/_rels/activeX246.xml.rels><?xml version="1.0" encoding="UTF-8" standalone="yes"?>
<Relationships xmlns="http://schemas.openxmlformats.org/package/2006/relationships"><Relationship Id="rId1" Type="http://schemas.microsoft.com/office/2006/relationships/activeXControlBinary" Target="activeX246.bin"/></Relationships>
</file>

<file path=xl/activeX/_rels/activeX247.xml.rels><?xml version="1.0" encoding="UTF-8" standalone="yes"?>
<Relationships xmlns="http://schemas.openxmlformats.org/package/2006/relationships"><Relationship Id="rId1" Type="http://schemas.microsoft.com/office/2006/relationships/activeXControlBinary" Target="activeX247.bin"/></Relationships>
</file>

<file path=xl/activeX/_rels/activeX248.xml.rels><?xml version="1.0" encoding="UTF-8" standalone="yes"?>
<Relationships xmlns="http://schemas.openxmlformats.org/package/2006/relationships"><Relationship Id="rId1" Type="http://schemas.microsoft.com/office/2006/relationships/activeXControlBinary" Target="activeX248.bin"/></Relationships>
</file>

<file path=xl/activeX/_rels/activeX249.xml.rels><?xml version="1.0" encoding="UTF-8" standalone="yes"?>
<Relationships xmlns="http://schemas.openxmlformats.org/package/2006/relationships"><Relationship Id="rId1" Type="http://schemas.microsoft.com/office/2006/relationships/activeXControlBinary" Target="activeX249.bin"/></Relationships>
</file>

<file path=xl/activeX/_rels/activeX250.xml.rels><?xml version="1.0" encoding="UTF-8" standalone="yes"?>
<Relationships xmlns="http://schemas.openxmlformats.org/package/2006/relationships"><Relationship Id="rId1" Type="http://schemas.microsoft.com/office/2006/relationships/activeXControlBinary" Target="activeX250.bin"/></Relationships>
</file>

<file path=xl/activeX/_rels/activeX251.xml.rels><?xml version="1.0" encoding="UTF-8" standalone="yes"?>
<Relationships xmlns="http://schemas.openxmlformats.org/package/2006/relationships"><Relationship Id="rId1" Type="http://schemas.microsoft.com/office/2006/relationships/activeXControlBinary" Target="activeX251.bin"/></Relationships>
</file>

<file path=xl/activeX/_rels/activeX252.xml.rels><?xml version="1.0" encoding="UTF-8" standalone="yes"?>
<Relationships xmlns="http://schemas.openxmlformats.org/package/2006/relationships"><Relationship Id="rId1" Type="http://schemas.microsoft.com/office/2006/relationships/activeXControlBinary" Target="activeX252.bin"/></Relationships>
</file>

<file path=xl/activeX/_rels/activeX253.xml.rels><?xml version="1.0" encoding="UTF-8" standalone="yes"?>
<Relationships xmlns="http://schemas.openxmlformats.org/package/2006/relationships"><Relationship Id="rId1" Type="http://schemas.microsoft.com/office/2006/relationships/activeXControlBinary" Target="activeX253.bin"/></Relationships>
</file>

<file path=xl/activeX/_rels/activeX254.xml.rels><?xml version="1.0" encoding="UTF-8" standalone="yes"?>
<Relationships xmlns="http://schemas.openxmlformats.org/package/2006/relationships"><Relationship Id="rId1" Type="http://schemas.microsoft.com/office/2006/relationships/activeXControlBinary" Target="activeX254.bin"/></Relationships>
</file>

<file path=xl/activeX/_rels/activeX255.xml.rels><?xml version="1.0" encoding="UTF-8" standalone="yes"?>
<Relationships xmlns="http://schemas.openxmlformats.org/package/2006/relationships"><Relationship Id="rId1" Type="http://schemas.microsoft.com/office/2006/relationships/activeXControlBinary" Target="activeX255.bin"/></Relationships>
</file>

<file path=xl/activeX/_rels/activeX256.xml.rels><?xml version="1.0" encoding="UTF-8" standalone="yes"?>
<Relationships xmlns="http://schemas.openxmlformats.org/package/2006/relationships"><Relationship Id="rId1" Type="http://schemas.microsoft.com/office/2006/relationships/activeXControlBinary" Target="activeX256.bin"/></Relationships>
</file>

<file path=xl/activeX/_rels/activeX257.xml.rels><?xml version="1.0" encoding="UTF-8" standalone="yes"?>
<Relationships xmlns="http://schemas.openxmlformats.org/package/2006/relationships"><Relationship Id="rId1" Type="http://schemas.microsoft.com/office/2006/relationships/activeXControlBinary" Target="activeX257.bin"/></Relationships>
</file>

<file path=xl/activeX/_rels/activeX258.xml.rels><?xml version="1.0" encoding="UTF-8" standalone="yes"?>
<Relationships xmlns="http://schemas.openxmlformats.org/package/2006/relationships"><Relationship Id="rId1" Type="http://schemas.microsoft.com/office/2006/relationships/activeXControlBinary" Target="activeX258.bin"/></Relationships>
</file>

<file path=xl/activeX/_rels/activeX259.xml.rels><?xml version="1.0" encoding="UTF-8" standalone="yes"?>
<Relationships xmlns="http://schemas.openxmlformats.org/package/2006/relationships"><Relationship Id="rId1" Type="http://schemas.microsoft.com/office/2006/relationships/activeXControlBinary" Target="activeX259.bin"/></Relationships>
</file>

<file path=xl/activeX/_rels/activeX260.xml.rels><?xml version="1.0" encoding="UTF-8" standalone="yes"?>
<Relationships xmlns="http://schemas.openxmlformats.org/package/2006/relationships"><Relationship Id="rId1" Type="http://schemas.microsoft.com/office/2006/relationships/activeXControlBinary" Target="activeX260.bin"/></Relationships>
</file>

<file path=xl/activeX/_rels/activeX261.xml.rels><?xml version="1.0" encoding="UTF-8" standalone="yes"?>
<Relationships xmlns="http://schemas.openxmlformats.org/package/2006/relationships"><Relationship Id="rId1" Type="http://schemas.microsoft.com/office/2006/relationships/activeXControlBinary" Target="activeX261.bin"/></Relationships>
</file>

<file path=xl/activeX/_rels/activeX262.xml.rels><?xml version="1.0" encoding="UTF-8" standalone="yes"?>
<Relationships xmlns="http://schemas.openxmlformats.org/package/2006/relationships"><Relationship Id="rId1" Type="http://schemas.microsoft.com/office/2006/relationships/activeXControlBinary" Target="activeX262.bin"/></Relationships>
</file>

<file path=xl/activeX/_rels/activeX263.xml.rels><?xml version="1.0" encoding="UTF-8" standalone="yes"?>
<Relationships xmlns="http://schemas.openxmlformats.org/package/2006/relationships"><Relationship Id="rId1" Type="http://schemas.microsoft.com/office/2006/relationships/activeXControlBinary" Target="activeX263.bin"/></Relationships>
</file>

<file path=xl/activeX/_rels/activeX264.xml.rels><?xml version="1.0" encoding="UTF-8" standalone="yes"?>
<Relationships xmlns="http://schemas.openxmlformats.org/package/2006/relationships"><Relationship Id="rId1" Type="http://schemas.microsoft.com/office/2006/relationships/activeXControlBinary" Target="activeX264.bin"/></Relationships>
</file>

<file path=xl/activeX/_rels/activeX265.xml.rels><?xml version="1.0" encoding="UTF-8" standalone="yes"?>
<Relationships xmlns="http://schemas.openxmlformats.org/package/2006/relationships"><Relationship Id="rId1" Type="http://schemas.microsoft.com/office/2006/relationships/activeXControlBinary" Target="activeX265.bin"/></Relationships>
</file>

<file path=xl/activeX/_rels/activeX266.xml.rels><?xml version="1.0" encoding="UTF-8" standalone="yes"?>
<Relationships xmlns="http://schemas.openxmlformats.org/package/2006/relationships"><Relationship Id="rId1" Type="http://schemas.microsoft.com/office/2006/relationships/activeXControlBinary" Target="activeX266.bin"/></Relationships>
</file>

<file path=xl/activeX/_rels/activeX267.xml.rels><?xml version="1.0" encoding="UTF-8" standalone="yes"?>
<Relationships xmlns="http://schemas.openxmlformats.org/package/2006/relationships"><Relationship Id="rId1" Type="http://schemas.microsoft.com/office/2006/relationships/activeXControlBinary" Target="activeX267.bin"/></Relationships>
</file>

<file path=xl/activeX/_rels/activeX268.xml.rels><?xml version="1.0" encoding="UTF-8" standalone="yes"?>
<Relationships xmlns="http://schemas.openxmlformats.org/package/2006/relationships"><Relationship Id="rId1" Type="http://schemas.microsoft.com/office/2006/relationships/activeXControlBinary" Target="activeX268.bin"/></Relationships>
</file>

<file path=xl/activeX/_rels/activeX269.xml.rels><?xml version="1.0" encoding="UTF-8" standalone="yes"?>
<Relationships xmlns="http://schemas.openxmlformats.org/package/2006/relationships"><Relationship Id="rId1" Type="http://schemas.microsoft.com/office/2006/relationships/activeXControlBinary" Target="activeX269.bin"/></Relationships>
</file>

<file path=xl/activeX/_rels/activeX270.xml.rels><?xml version="1.0" encoding="UTF-8" standalone="yes"?>
<Relationships xmlns="http://schemas.openxmlformats.org/package/2006/relationships"><Relationship Id="rId1" Type="http://schemas.microsoft.com/office/2006/relationships/activeXControlBinary" Target="activeX270.bin"/></Relationships>
</file>

<file path=xl/activeX/_rels/activeX271.xml.rels><?xml version="1.0" encoding="UTF-8" standalone="yes"?>
<Relationships xmlns="http://schemas.openxmlformats.org/package/2006/relationships"><Relationship Id="rId1" Type="http://schemas.microsoft.com/office/2006/relationships/activeXControlBinary" Target="activeX271.bin"/></Relationships>
</file>

<file path=xl/activeX/_rels/activeX272.xml.rels><?xml version="1.0" encoding="UTF-8" standalone="yes"?>
<Relationships xmlns="http://schemas.openxmlformats.org/package/2006/relationships"><Relationship Id="rId1" Type="http://schemas.microsoft.com/office/2006/relationships/activeXControlBinary" Target="activeX272.bin"/></Relationships>
</file>

<file path=xl/activeX/_rels/activeX273.xml.rels><?xml version="1.0" encoding="UTF-8" standalone="yes"?>
<Relationships xmlns="http://schemas.openxmlformats.org/package/2006/relationships"><Relationship Id="rId1" Type="http://schemas.microsoft.com/office/2006/relationships/activeXControlBinary" Target="activeX273.bin"/></Relationships>
</file>

<file path=xl/activeX/_rels/activeX274.xml.rels><?xml version="1.0" encoding="UTF-8" standalone="yes"?>
<Relationships xmlns="http://schemas.openxmlformats.org/package/2006/relationships"><Relationship Id="rId1" Type="http://schemas.microsoft.com/office/2006/relationships/activeXControlBinary" Target="activeX274.bin"/></Relationships>
</file>

<file path=xl/activeX/_rels/activeX275.xml.rels><?xml version="1.0" encoding="UTF-8" standalone="yes"?>
<Relationships xmlns="http://schemas.openxmlformats.org/package/2006/relationships"><Relationship Id="rId1" Type="http://schemas.microsoft.com/office/2006/relationships/activeXControlBinary" Target="activeX275.bin"/></Relationships>
</file>

<file path=xl/activeX/_rels/activeX276.xml.rels><?xml version="1.0" encoding="UTF-8" standalone="yes"?>
<Relationships xmlns="http://schemas.openxmlformats.org/package/2006/relationships"><Relationship Id="rId1" Type="http://schemas.microsoft.com/office/2006/relationships/activeXControlBinary" Target="activeX276.bin"/></Relationships>
</file>

<file path=xl/activeX/_rels/activeX277.xml.rels><?xml version="1.0" encoding="UTF-8" standalone="yes"?>
<Relationships xmlns="http://schemas.openxmlformats.org/package/2006/relationships"><Relationship Id="rId1" Type="http://schemas.microsoft.com/office/2006/relationships/activeXControlBinary" Target="activeX277.bin"/></Relationships>
</file>

<file path=xl/activeX/_rels/activeX278.xml.rels><?xml version="1.0" encoding="UTF-8" standalone="yes"?>
<Relationships xmlns="http://schemas.openxmlformats.org/package/2006/relationships"><Relationship Id="rId1" Type="http://schemas.microsoft.com/office/2006/relationships/activeXControlBinary" Target="activeX278.bin"/></Relationships>
</file>

<file path=xl/activeX/_rels/activeX279.xml.rels><?xml version="1.0" encoding="UTF-8" standalone="yes"?>
<Relationships xmlns="http://schemas.openxmlformats.org/package/2006/relationships"><Relationship Id="rId1" Type="http://schemas.microsoft.com/office/2006/relationships/activeXControlBinary" Target="activeX279.bin"/></Relationships>
</file>

<file path=xl/activeX/_rels/activeX280.xml.rels><?xml version="1.0" encoding="UTF-8" standalone="yes"?>
<Relationships xmlns="http://schemas.openxmlformats.org/package/2006/relationships"><Relationship Id="rId1" Type="http://schemas.microsoft.com/office/2006/relationships/activeXControlBinary" Target="activeX280.bin"/></Relationships>
</file>

<file path=xl/activeX/_rels/activeX281.xml.rels><?xml version="1.0" encoding="UTF-8" standalone="yes"?>
<Relationships xmlns="http://schemas.openxmlformats.org/package/2006/relationships"><Relationship Id="rId1" Type="http://schemas.microsoft.com/office/2006/relationships/activeXControlBinary" Target="activeX281.bin"/></Relationships>
</file>

<file path=xl/activeX/_rels/activeX282.xml.rels><?xml version="1.0" encoding="UTF-8" standalone="yes"?>
<Relationships xmlns="http://schemas.openxmlformats.org/package/2006/relationships"><Relationship Id="rId1" Type="http://schemas.microsoft.com/office/2006/relationships/activeXControlBinary" Target="activeX282.bin"/></Relationships>
</file>

<file path=xl/activeX/_rels/activeX283.xml.rels><?xml version="1.0" encoding="UTF-8" standalone="yes"?>
<Relationships xmlns="http://schemas.openxmlformats.org/package/2006/relationships"><Relationship Id="rId1" Type="http://schemas.microsoft.com/office/2006/relationships/activeXControlBinary" Target="activeX283.bin"/></Relationships>
</file>

<file path=xl/activeX/_rels/activeX284.xml.rels><?xml version="1.0" encoding="UTF-8" standalone="yes"?>
<Relationships xmlns="http://schemas.openxmlformats.org/package/2006/relationships"><Relationship Id="rId1" Type="http://schemas.microsoft.com/office/2006/relationships/activeXControlBinary" Target="activeX284.bin"/></Relationships>
</file>

<file path=xl/activeX/_rels/activeX285.xml.rels><?xml version="1.0" encoding="UTF-8" standalone="yes"?>
<Relationships xmlns="http://schemas.openxmlformats.org/package/2006/relationships"><Relationship Id="rId1" Type="http://schemas.microsoft.com/office/2006/relationships/activeXControlBinary" Target="activeX285.bin"/></Relationships>
</file>

<file path=xl/activeX/_rels/activeX286.xml.rels><?xml version="1.0" encoding="UTF-8" standalone="yes"?>
<Relationships xmlns="http://schemas.openxmlformats.org/package/2006/relationships"><Relationship Id="rId1" Type="http://schemas.microsoft.com/office/2006/relationships/activeXControlBinary" Target="activeX286.bin"/></Relationships>
</file>

<file path=xl/activeX/_rels/activeX287.xml.rels><?xml version="1.0" encoding="UTF-8" standalone="yes"?>
<Relationships xmlns="http://schemas.openxmlformats.org/package/2006/relationships"><Relationship Id="rId1" Type="http://schemas.microsoft.com/office/2006/relationships/activeXControlBinary" Target="activeX287.bin"/></Relationships>
</file>

<file path=xl/activeX/_rels/activeX288.xml.rels><?xml version="1.0" encoding="UTF-8" standalone="yes"?>
<Relationships xmlns="http://schemas.openxmlformats.org/package/2006/relationships"><Relationship Id="rId1" Type="http://schemas.microsoft.com/office/2006/relationships/activeXControlBinary" Target="activeX288.bin"/></Relationships>
</file>

<file path=xl/activeX/_rels/activeX289.xml.rels><?xml version="1.0" encoding="UTF-8" standalone="yes"?>
<Relationships xmlns="http://schemas.openxmlformats.org/package/2006/relationships"><Relationship Id="rId1" Type="http://schemas.microsoft.com/office/2006/relationships/activeXControlBinary" Target="activeX289.bin"/></Relationships>
</file>

<file path=xl/activeX/_rels/activeX290.xml.rels><?xml version="1.0" encoding="UTF-8" standalone="yes"?>
<Relationships xmlns="http://schemas.openxmlformats.org/package/2006/relationships"><Relationship Id="rId1" Type="http://schemas.microsoft.com/office/2006/relationships/activeXControlBinary" Target="activeX290.bin"/></Relationships>
</file>

<file path=xl/activeX/_rels/activeX291.xml.rels><?xml version="1.0" encoding="UTF-8" standalone="yes"?>
<Relationships xmlns="http://schemas.openxmlformats.org/package/2006/relationships"><Relationship Id="rId1" Type="http://schemas.microsoft.com/office/2006/relationships/activeXControlBinary" Target="activeX291.bin"/></Relationships>
</file>

<file path=xl/activeX/_rels/activeX292.xml.rels><?xml version="1.0" encoding="UTF-8" standalone="yes"?>
<Relationships xmlns="http://schemas.openxmlformats.org/package/2006/relationships"><Relationship Id="rId1" Type="http://schemas.microsoft.com/office/2006/relationships/activeXControlBinary" Target="activeX292.bin"/></Relationships>
</file>

<file path=xl/activeX/_rels/activeX293.xml.rels><?xml version="1.0" encoding="UTF-8" standalone="yes"?>
<Relationships xmlns="http://schemas.openxmlformats.org/package/2006/relationships"><Relationship Id="rId1" Type="http://schemas.microsoft.com/office/2006/relationships/activeXControlBinary" Target="activeX293.bin"/></Relationships>
</file>

<file path=xl/activeX/_rels/activeX294.xml.rels><?xml version="1.0" encoding="UTF-8" standalone="yes"?>
<Relationships xmlns="http://schemas.openxmlformats.org/package/2006/relationships"><Relationship Id="rId1" Type="http://schemas.microsoft.com/office/2006/relationships/activeXControlBinary" Target="activeX294.bin"/></Relationships>
</file>

<file path=xl/activeX/_rels/activeX295.xml.rels><?xml version="1.0" encoding="UTF-8" standalone="yes"?>
<Relationships xmlns="http://schemas.openxmlformats.org/package/2006/relationships"><Relationship Id="rId1" Type="http://schemas.microsoft.com/office/2006/relationships/activeXControlBinary" Target="activeX295.bin"/></Relationships>
</file>

<file path=xl/activeX/_rels/activeX296.xml.rels><?xml version="1.0" encoding="UTF-8" standalone="yes"?>
<Relationships xmlns="http://schemas.openxmlformats.org/package/2006/relationships"><Relationship Id="rId1" Type="http://schemas.microsoft.com/office/2006/relationships/activeXControlBinary" Target="activeX296.bin"/></Relationships>
</file>

<file path=xl/activeX/_rels/activeX297.xml.rels><?xml version="1.0" encoding="UTF-8" standalone="yes"?>
<Relationships xmlns="http://schemas.openxmlformats.org/package/2006/relationships"><Relationship Id="rId1" Type="http://schemas.microsoft.com/office/2006/relationships/activeXControlBinary" Target="activeX297.bin"/></Relationships>
</file>

<file path=xl/activeX/_rels/activeX298.xml.rels><?xml version="1.0" encoding="UTF-8" standalone="yes"?>
<Relationships xmlns="http://schemas.openxmlformats.org/package/2006/relationships"><Relationship Id="rId1" Type="http://schemas.microsoft.com/office/2006/relationships/activeXControlBinary" Target="activeX298.bin"/></Relationships>
</file>

<file path=xl/activeX/_rels/activeX299.xml.rels><?xml version="1.0" encoding="UTF-8" standalone="yes"?>
<Relationships xmlns="http://schemas.openxmlformats.org/package/2006/relationships"><Relationship Id="rId1" Type="http://schemas.microsoft.com/office/2006/relationships/activeXControlBinary" Target="activeX299.bin"/></Relationships>
</file>

<file path=xl/activeX/_rels/activeX300.xml.rels><?xml version="1.0" encoding="UTF-8" standalone="yes"?>
<Relationships xmlns="http://schemas.openxmlformats.org/package/2006/relationships"><Relationship Id="rId1" Type="http://schemas.microsoft.com/office/2006/relationships/activeXControlBinary" Target="activeX300.bin"/></Relationships>
</file>

<file path=xl/activeX/_rels/activeX301.xml.rels><?xml version="1.0" encoding="UTF-8" standalone="yes"?>
<Relationships xmlns="http://schemas.openxmlformats.org/package/2006/relationships"><Relationship Id="rId1" Type="http://schemas.microsoft.com/office/2006/relationships/activeXControlBinary" Target="activeX301.bin"/></Relationships>
</file>

<file path=xl/activeX/_rels/activeX302.xml.rels><?xml version="1.0" encoding="UTF-8" standalone="yes"?>
<Relationships xmlns="http://schemas.openxmlformats.org/package/2006/relationships"><Relationship Id="rId1" Type="http://schemas.microsoft.com/office/2006/relationships/activeXControlBinary" Target="activeX302.bin"/></Relationships>
</file>

<file path=xl/activeX/_rels/activeX303.xml.rels><?xml version="1.0" encoding="UTF-8" standalone="yes"?>
<Relationships xmlns="http://schemas.openxmlformats.org/package/2006/relationships"><Relationship Id="rId1" Type="http://schemas.microsoft.com/office/2006/relationships/activeXControlBinary" Target="activeX303.bin"/></Relationships>
</file>

<file path=xl/activeX/_rels/activeX304.xml.rels><?xml version="1.0" encoding="UTF-8" standalone="yes"?>
<Relationships xmlns="http://schemas.openxmlformats.org/package/2006/relationships"><Relationship Id="rId1" Type="http://schemas.microsoft.com/office/2006/relationships/activeXControlBinary" Target="activeX304.bin"/></Relationships>
</file>

<file path=xl/activeX/_rels/activeX305.xml.rels><?xml version="1.0" encoding="UTF-8" standalone="yes"?>
<Relationships xmlns="http://schemas.openxmlformats.org/package/2006/relationships"><Relationship Id="rId1" Type="http://schemas.microsoft.com/office/2006/relationships/activeXControlBinary" Target="activeX305.bin"/></Relationships>
</file>

<file path=xl/activeX/_rels/activeX306.xml.rels><?xml version="1.0" encoding="UTF-8" standalone="yes"?>
<Relationships xmlns="http://schemas.openxmlformats.org/package/2006/relationships"><Relationship Id="rId1" Type="http://schemas.microsoft.com/office/2006/relationships/activeXControlBinary" Target="activeX306.bin"/></Relationships>
</file>

<file path=xl/activeX/_rels/activeX307.xml.rels><?xml version="1.0" encoding="UTF-8" standalone="yes"?>
<Relationships xmlns="http://schemas.openxmlformats.org/package/2006/relationships"><Relationship Id="rId1" Type="http://schemas.microsoft.com/office/2006/relationships/activeXControlBinary" Target="activeX307.bin"/></Relationships>
</file>

<file path=xl/activeX/_rels/activeX308.xml.rels><?xml version="1.0" encoding="UTF-8" standalone="yes"?>
<Relationships xmlns="http://schemas.openxmlformats.org/package/2006/relationships"><Relationship Id="rId1" Type="http://schemas.microsoft.com/office/2006/relationships/activeXControlBinary" Target="activeX308.bin"/></Relationships>
</file>

<file path=xl/activeX/_rels/activeX309.xml.rels><?xml version="1.0" encoding="UTF-8" standalone="yes"?>
<Relationships xmlns="http://schemas.openxmlformats.org/package/2006/relationships"><Relationship Id="rId1" Type="http://schemas.microsoft.com/office/2006/relationships/activeXControlBinary" Target="activeX309.bin"/></Relationships>
</file>

<file path=xl/activeX/_rels/activeX310.xml.rels><?xml version="1.0" encoding="UTF-8" standalone="yes"?>
<Relationships xmlns="http://schemas.openxmlformats.org/package/2006/relationships"><Relationship Id="rId1" Type="http://schemas.microsoft.com/office/2006/relationships/activeXControlBinary" Target="activeX310.bin"/></Relationships>
</file>

<file path=xl/activeX/_rels/activeX311.xml.rels><?xml version="1.0" encoding="UTF-8" standalone="yes"?>
<Relationships xmlns="http://schemas.openxmlformats.org/package/2006/relationships"><Relationship Id="rId1" Type="http://schemas.microsoft.com/office/2006/relationships/activeXControlBinary" Target="activeX311.bin"/></Relationships>
</file>

<file path=xl/activeX/_rels/activeX312.xml.rels><?xml version="1.0" encoding="UTF-8" standalone="yes"?>
<Relationships xmlns="http://schemas.openxmlformats.org/package/2006/relationships"><Relationship Id="rId1" Type="http://schemas.microsoft.com/office/2006/relationships/activeXControlBinary" Target="activeX312.bin"/></Relationships>
</file>

<file path=xl/activeX/_rels/activeX313.xml.rels><?xml version="1.0" encoding="UTF-8" standalone="yes"?>
<Relationships xmlns="http://schemas.openxmlformats.org/package/2006/relationships"><Relationship Id="rId1" Type="http://schemas.microsoft.com/office/2006/relationships/activeXControlBinary" Target="activeX313.bin"/></Relationships>
</file>

<file path=xl/activeX/_rels/activeX314.xml.rels><?xml version="1.0" encoding="UTF-8" standalone="yes"?>
<Relationships xmlns="http://schemas.openxmlformats.org/package/2006/relationships"><Relationship Id="rId1" Type="http://schemas.microsoft.com/office/2006/relationships/activeXControlBinary" Target="activeX314.bin"/></Relationships>
</file>

<file path=xl/activeX/_rels/activeX315.xml.rels><?xml version="1.0" encoding="UTF-8" standalone="yes"?>
<Relationships xmlns="http://schemas.openxmlformats.org/package/2006/relationships"><Relationship Id="rId1" Type="http://schemas.microsoft.com/office/2006/relationships/activeXControlBinary" Target="activeX315.bin"/></Relationships>
</file>

<file path=xl/activeX/_rels/activeX316.xml.rels><?xml version="1.0" encoding="UTF-8" standalone="yes"?>
<Relationships xmlns="http://schemas.openxmlformats.org/package/2006/relationships"><Relationship Id="rId1" Type="http://schemas.microsoft.com/office/2006/relationships/activeXControlBinary" Target="activeX316.bin"/></Relationships>
</file>

<file path=xl/activeX/_rels/activeX317.xml.rels><?xml version="1.0" encoding="UTF-8" standalone="yes"?>
<Relationships xmlns="http://schemas.openxmlformats.org/package/2006/relationships"><Relationship Id="rId1" Type="http://schemas.microsoft.com/office/2006/relationships/activeXControlBinary" Target="activeX317.bin"/></Relationships>
</file>

<file path=xl/activeX/_rels/activeX318.xml.rels><?xml version="1.0" encoding="UTF-8" standalone="yes"?>
<Relationships xmlns="http://schemas.openxmlformats.org/package/2006/relationships"><Relationship Id="rId1" Type="http://schemas.microsoft.com/office/2006/relationships/activeXControlBinary" Target="activeX318.bin"/></Relationships>
</file>

<file path=xl/activeX/_rels/activeX319.xml.rels><?xml version="1.0" encoding="UTF-8" standalone="yes"?>
<Relationships xmlns="http://schemas.openxmlformats.org/package/2006/relationships"><Relationship Id="rId1" Type="http://schemas.microsoft.com/office/2006/relationships/activeXControlBinary" Target="activeX319.bin"/></Relationships>
</file>

<file path=xl/activeX/_rels/activeX320.xml.rels><?xml version="1.0" encoding="UTF-8" standalone="yes"?>
<Relationships xmlns="http://schemas.openxmlformats.org/package/2006/relationships"><Relationship Id="rId1" Type="http://schemas.microsoft.com/office/2006/relationships/activeXControlBinary" Target="activeX320.bin"/></Relationships>
</file>

<file path=xl/activeX/_rels/activeX321.xml.rels><?xml version="1.0" encoding="UTF-8" standalone="yes"?>
<Relationships xmlns="http://schemas.openxmlformats.org/package/2006/relationships"><Relationship Id="rId1" Type="http://schemas.microsoft.com/office/2006/relationships/activeXControlBinary" Target="activeX321.bin"/></Relationships>
</file>

<file path=xl/activeX/_rels/activeX322.xml.rels><?xml version="1.0" encoding="UTF-8" standalone="yes"?>
<Relationships xmlns="http://schemas.openxmlformats.org/package/2006/relationships"><Relationship Id="rId1" Type="http://schemas.microsoft.com/office/2006/relationships/activeXControlBinary" Target="activeX322.bin"/></Relationships>
</file>

<file path=xl/activeX/_rels/activeX323.xml.rels><?xml version="1.0" encoding="UTF-8" standalone="yes"?>
<Relationships xmlns="http://schemas.openxmlformats.org/package/2006/relationships"><Relationship Id="rId1" Type="http://schemas.microsoft.com/office/2006/relationships/activeXControlBinary" Target="activeX323.bin"/></Relationships>
</file>

<file path=xl/activeX/_rels/activeX324.xml.rels><?xml version="1.0" encoding="UTF-8" standalone="yes"?>
<Relationships xmlns="http://schemas.openxmlformats.org/package/2006/relationships"><Relationship Id="rId1" Type="http://schemas.microsoft.com/office/2006/relationships/activeXControlBinary" Target="activeX324.bin"/></Relationships>
</file>

<file path=xl/activeX/_rels/activeX325.xml.rels><?xml version="1.0" encoding="UTF-8" standalone="yes"?>
<Relationships xmlns="http://schemas.openxmlformats.org/package/2006/relationships"><Relationship Id="rId1" Type="http://schemas.microsoft.com/office/2006/relationships/activeXControlBinary" Target="activeX325.bin"/></Relationships>
</file>

<file path=xl/activeX/_rels/activeX326.xml.rels><?xml version="1.0" encoding="UTF-8" standalone="yes"?>
<Relationships xmlns="http://schemas.openxmlformats.org/package/2006/relationships"><Relationship Id="rId1" Type="http://schemas.microsoft.com/office/2006/relationships/activeXControlBinary" Target="activeX326.bin"/></Relationships>
</file>

<file path=xl/activeX/_rels/activeX327.xml.rels><?xml version="1.0" encoding="UTF-8" standalone="yes"?>
<Relationships xmlns="http://schemas.openxmlformats.org/package/2006/relationships"><Relationship Id="rId1" Type="http://schemas.microsoft.com/office/2006/relationships/activeXControlBinary" Target="activeX327.bin"/></Relationships>
</file>

<file path=xl/activeX/_rels/activeX328.xml.rels><?xml version="1.0" encoding="UTF-8" standalone="yes"?>
<Relationships xmlns="http://schemas.openxmlformats.org/package/2006/relationships"><Relationship Id="rId1" Type="http://schemas.microsoft.com/office/2006/relationships/activeXControlBinary" Target="activeX328.bin"/></Relationships>
</file>

<file path=xl/activeX/_rels/activeX329.xml.rels><?xml version="1.0" encoding="UTF-8" standalone="yes"?>
<Relationships xmlns="http://schemas.openxmlformats.org/package/2006/relationships"><Relationship Id="rId1" Type="http://schemas.microsoft.com/office/2006/relationships/activeXControlBinary" Target="activeX329.bin"/></Relationships>
</file>

<file path=xl/activeX/_rels/activeX330.xml.rels><?xml version="1.0" encoding="UTF-8" standalone="yes"?>
<Relationships xmlns="http://schemas.openxmlformats.org/package/2006/relationships"><Relationship Id="rId1" Type="http://schemas.microsoft.com/office/2006/relationships/activeXControlBinary" Target="activeX330.bin"/></Relationships>
</file>

<file path=xl/activeX/_rels/activeX331.xml.rels><?xml version="1.0" encoding="UTF-8" standalone="yes"?>
<Relationships xmlns="http://schemas.openxmlformats.org/package/2006/relationships"><Relationship Id="rId1" Type="http://schemas.microsoft.com/office/2006/relationships/activeXControlBinary" Target="activeX331.bin"/></Relationships>
</file>

<file path=xl/activeX/_rels/activeX332.xml.rels><?xml version="1.0" encoding="UTF-8" standalone="yes"?>
<Relationships xmlns="http://schemas.openxmlformats.org/package/2006/relationships"><Relationship Id="rId1" Type="http://schemas.microsoft.com/office/2006/relationships/activeXControlBinary" Target="activeX332.bin"/></Relationships>
</file>

<file path=xl/activeX/_rels/activeX333.xml.rels><?xml version="1.0" encoding="UTF-8" standalone="yes"?>
<Relationships xmlns="http://schemas.openxmlformats.org/package/2006/relationships"><Relationship Id="rId1" Type="http://schemas.microsoft.com/office/2006/relationships/activeXControlBinary" Target="activeX333.bin"/></Relationships>
</file>

<file path=xl/activeX/_rels/activeX334.xml.rels><?xml version="1.0" encoding="UTF-8" standalone="yes"?>
<Relationships xmlns="http://schemas.openxmlformats.org/package/2006/relationships"><Relationship Id="rId1" Type="http://schemas.microsoft.com/office/2006/relationships/activeXControlBinary" Target="activeX334.bin"/></Relationships>
</file>

<file path=xl/activeX/_rels/activeX335.xml.rels><?xml version="1.0" encoding="UTF-8" standalone="yes"?>
<Relationships xmlns="http://schemas.openxmlformats.org/package/2006/relationships"><Relationship Id="rId1" Type="http://schemas.microsoft.com/office/2006/relationships/activeXControlBinary" Target="activeX335.bin"/></Relationships>
</file>

<file path=xl/activeX/_rels/activeX336.xml.rels><?xml version="1.0" encoding="UTF-8" standalone="yes"?>
<Relationships xmlns="http://schemas.openxmlformats.org/package/2006/relationships"><Relationship Id="rId1" Type="http://schemas.microsoft.com/office/2006/relationships/activeXControlBinary" Target="activeX336.bin"/></Relationships>
</file>

<file path=xl/activeX/_rels/activeX337.xml.rels><?xml version="1.0" encoding="UTF-8" standalone="yes"?>
<Relationships xmlns="http://schemas.openxmlformats.org/package/2006/relationships"><Relationship Id="rId1" Type="http://schemas.microsoft.com/office/2006/relationships/activeXControlBinary" Target="activeX337.bin"/></Relationships>
</file>

<file path=xl/activeX/_rels/activeX338.xml.rels><?xml version="1.0" encoding="UTF-8" standalone="yes"?>
<Relationships xmlns="http://schemas.openxmlformats.org/package/2006/relationships"><Relationship Id="rId1" Type="http://schemas.microsoft.com/office/2006/relationships/activeXControlBinary" Target="activeX338.bin"/></Relationships>
</file>

<file path=xl/activeX/_rels/activeX339.xml.rels><?xml version="1.0" encoding="UTF-8" standalone="yes"?>
<Relationships xmlns="http://schemas.openxmlformats.org/package/2006/relationships"><Relationship Id="rId1" Type="http://schemas.microsoft.com/office/2006/relationships/activeXControlBinary" Target="activeX339.bin"/></Relationships>
</file>

<file path=xl/activeX/_rels/activeX340.xml.rels><?xml version="1.0" encoding="UTF-8" standalone="yes"?>
<Relationships xmlns="http://schemas.openxmlformats.org/package/2006/relationships"><Relationship Id="rId1" Type="http://schemas.microsoft.com/office/2006/relationships/activeXControlBinary" Target="activeX340.bin"/></Relationships>
</file>

<file path=xl/activeX/_rels/activeX341.xml.rels><?xml version="1.0" encoding="UTF-8" standalone="yes"?>
<Relationships xmlns="http://schemas.openxmlformats.org/package/2006/relationships"><Relationship Id="rId1" Type="http://schemas.microsoft.com/office/2006/relationships/activeXControlBinary" Target="activeX341.bin"/></Relationships>
</file>

<file path=xl/activeX/_rels/activeX342.xml.rels><?xml version="1.0" encoding="UTF-8" standalone="yes"?>
<Relationships xmlns="http://schemas.openxmlformats.org/package/2006/relationships"><Relationship Id="rId1" Type="http://schemas.microsoft.com/office/2006/relationships/activeXControlBinary" Target="activeX342.bin"/></Relationships>
</file>

<file path=xl/activeX/_rels/activeX343.xml.rels><?xml version="1.0" encoding="UTF-8" standalone="yes"?>
<Relationships xmlns="http://schemas.openxmlformats.org/package/2006/relationships"><Relationship Id="rId1" Type="http://schemas.microsoft.com/office/2006/relationships/activeXControlBinary" Target="activeX343.bin"/></Relationships>
</file>

<file path=xl/activeX/_rels/activeX344.xml.rels><?xml version="1.0" encoding="UTF-8" standalone="yes"?>
<Relationships xmlns="http://schemas.openxmlformats.org/package/2006/relationships"><Relationship Id="rId1" Type="http://schemas.microsoft.com/office/2006/relationships/activeXControlBinary" Target="activeX344.bin"/></Relationships>
</file>

<file path=xl/activeX/_rels/activeX345.xml.rels><?xml version="1.0" encoding="UTF-8" standalone="yes"?>
<Relationships xmlns="http://schemas.openxmlformats.org/package/2006/relationships"><Relationship Id="rId1" Type="http://schemas.microsoft.com/office/2006/relationships/activeXControlBinary" Target="activeX345.bin"/></Relationships>
</file>

<file path=xl/activeX/_rels/activeX346.xml.rels><?xml version="1.0" encoding="UTF-8" standalone="yes"?>
<Relationships xmlns="http://schemas.openxmlformats.org/package/2006/relationships"><Relationship Id="rId1" Type="http://schemas.microsoft.com/office/2006/relationships/activeXControlBinary" Target="activeX346.bin"/></Relationships>
</file>

<file path=xl/activeX/_rels/activeX347.xml.rels><?xml version="1.0" encoding="UTF-8" standalone="yes"?>
<Relationships xmlns="http://schemas.openxmlformats.org/package/2006/relationships"><Relationship Id="rId1" Type="http://schemas.microsoft.com/office/2006/relationships/activeXControlBinary" Target="activeX347.bin"/></Relationships>
</file>

<file path=xl/activeX/_rels/activeX348.xml.rels><?xml version="1.0" encoding="UTF-8" standalone="yes"?>
<Relationships xmlns="http://schemas.openxmlformats.org/package/2006/relationships"><Relationship Id="rId1" Type="http://schemas.microsoft.com/office/2006/relationships/activeXControlBinary" Target="activeX348.bin"/></Relationships>
</file>

<file path=xl/activeX/_rels/activeX349.xml.rels><?xml version="1.0" encoding="UTF-8" standalone="yes"?>
<Relationships xmlns="http://schemas.openxmlformats.org/package/2006/relationships"><Relationship Id="rId1" Type="http://schemas.microsoft.com/office/2006/relationships/activeXControlBinary" Target="activeX349.bin"/></Relationships>
</file>

<file path=xl/activeX/_rels/activeX350.xml.rels><?xml version="1.0" encoding="UTF-8" standalone="yes"?>
<Relationships xmlns="http://schemas.openxmlformats.org/package/2006/relationships"><Relationship Id="rId1" Type="http://schemas.microsoft.com/office/2006/relationships/activeXControlBinary" Target="activeX350.bin"/></Relationships>
</file>

<file path=xl/activeX/_rels/activeX351.xml.rels><?xml version="1.0" encoding="UTF-8" standalone="yes"?>
<Relationships xmlns="http://schemas.openxmlformats.org/package/2006/relationships"><Relationship Id="rId1" Type="http://schemas.microsoft.com/office/2006/relationships/activeXControlBinary" Target="activeX351.bin"/></Relationships>
</file>

<file path=xl/activeX/_rels/activeX352.xml.rels><?xml version="1.0" encoding="UTF-8" standalone="yes"?>
<Relationships xmlns="http://schemas.openxmlformats.org/package/2006/relationships"><Relationship Id="rId1" Type="http://schemas.microsoft.com/office/2006/relationships/activeXControlBinary" Target="activeX352.bin"/></Relationships>
</file>

<file path=xl/activeX/_rels/activeX353.xml.rels><?xml version="1.0" encoding="UTF-8" standalone="yes"?>
<Relationships xmlns="http://schemas.openxmlformats.org/package/2006/relationships"><Relationship Id="rId1" Type="http://schemas.microsoft.com/office/2006/relationships/activeXControlBinary" Target="activeX353.bin"/></Relationships>
</file>

<file path=xl/activeX/_rels/activeX354.xml.rels><?xml version="1.0" encoding="UTF-8" standalone="yes"?>
<Relationships xmlns="http://schemas.openxmlformats.org/package/2006/relationships"><Relationship Id="rId1" Type="http://schemas.microsoft.com/office/2006/relationships/activeXControlBinary" Target="activeX354.bin"/></Relationships>
</file>

<file path=xl/activeX/_rels/activeX355.xml.rels><?xml version="1.0" encoding="UTF-8" standalone="yes"?>
<Relationships xmlns="http://schemas.openxmlformats.org/package/2006/relationships"><Relationship Id="rId1" Type="http://schemas.microsoft.com/office/2006/relationships/activeXControlBinary" Target="activeX355.bin"/></Relationships>
</file>

<file path=xl/activeX/_rels/activeX356.xml.rels><?xml version="1.0" encoding="UTF-8" standalone="yes"?>
<Relationships xmlns="http://schemas.openxmlformats.org/package/2006/relationships"><Relationship Id="rId1" Type="http://schemas.microsoft.com/office/2006/relationships/activeXControlBinary" Target="activeX356.bin"/></Relationships>
</file>

<file path=xl/activeX/_rels/activeX357.xml.rels><?xml version="1.0" encoding="UTF-8" standalone="yes"?>
<Relationships xmlns="http://schemas.openxmlformats.org/package/2006/relationships"><Relationship Id="rId1" Type="http://schemas.microsoft.com/office/2006/relationships/activeXControlBinary" Target="activeX357.bin"/></Relationships>
</file>

<file path=xl/activeX/_rels/activeX358.xml.rels><?xml version="1.0" encoding="UTF-8" standalone="yes"?>
<Relationships xmlns="http://schemas.openxmlformats.org/package/2006/relationships"><Relationship Id="rId1" Type="http://schemas.microsoft.com/office/2006/relationships/activeXControlBinary" Target="activeX358.bin"/></Relationships>
</file>

<file path=xl/activeX/_rels/activeX359.xml.rels><?xml version="1.0" encoding="UTF-8" standalone="yes"?>
<Relationships xmlns="http://schemas.openxmlformats.org/package/2006/relationships"><Relationship Id="rId1" Type="http://schemas.microsoft.com/office/2006/relationships/activeXControlBinary" Target="activeX359.bin"/></Relationships>
</file>

<file path=xl/activeX/_rels/activeX360.xml.rels><?xml version="1.0" encoding="UTF-8" standalone="yes"?>
<Relationships xmlns="http://schemas.openxmlformats.org/package/2006/relationships"><Relationship Id="rId1" Type="http://schemas.microsoft.com/office/2006/relationships/activeXControlBinary" Target="activeX360.bin"/></Relationships>
</file>

<file path=xl/activeX/_rels/activeX361.xml.rels><?xml version="1.0" encoding="UTF-8" standalone="yes"?>
<Relationships xmlns="http://schemas.openxmlformats.org/package/2006/relationships"><Relationship Id="rId1" Type="http://schemas.microsoft.com/office/2006/relationships/activeXControlBinary" Target="activeX361.bin"/></Relationships>
</file>

<file path=xl/activeX/_rels/activeX362.xml.rels><?xml version="1.0" encoding="UTF-8" standalone="yes"?>
<Relationships xmlns="http://schemas.openxmlformats.org/package/2006/relationships"><Relationship Id="rId1" Type="http://schemas.microsoft.com/office/2006/relationships/activeXControlBinary" Target="activeX362.bin"/></Relationships>
</file>

<file path=xl/activeX/_rels/activeX363.xml.rels><?xml version="1.0" encoding="UTF-8" standalone="yes"?>
<Relationships xmlns="http://schemas.openxmlformats.org/package/2006/relationships"><Relationship Id="rId1" Type="http://schemas.microsoft.com/office/2006/relationships/activeXControlBinary" Target="activeX363.bin"/></Relationships>
</file>

<file path=xl/activeX/_rels/activeX364.xml.rels><?xml version="1.0" encoding="UTF-8" standalone="yes"?>
<Relationships xmlns="http://schemas.openxmlformats.org/package/2006/relationships"><Relationship Id="rId1" Type="http://schemas.microsoft.com/office/2006/relationships/activeXControlBinary" Target="activeX364.bin"/></Relationships>
</file>

<file path=xl/activeX/_rels/activeX365.xml.rels><?xml version="1.0" encoding="UTF-8" standalone="yes"?>
<Relationships xmlns="http://schemas.openxmlformats.org/package/2006/relationships"><Relationship Id="rId1" Type="http://schemas.microsoft.com/office/2006/relationships/activeXControlBinary" Target="activeX365.bin"/></Relationships>
</file>

<file path=xl/activeX/_rels/activeX366.xml.rels><?xml version="1.0" encoding="UTF-8" standalone="yes"?>
<Relationships xmlns="http://schemas.openxmlformats.org/package/2006/relationships"><Relationship Id="rId1" Type="http://schemas.microsoft.com/office/2006/relationships/activeXControlBinary" Target="activeX366.bin"/></Relationships>
</file>

<file path=xl/activeX/_rels/activeX367.xml.rels><?xml version="1.0" encoding="UTF-8" standalone="yes"?>
<Relationships xmlns="http://schemas.openxmlformats.org/package/2006/relationships"><Relationship Id="rId1" Type="http://schemas.microsoft.com/office/2006/relationships/activeXControlBinary" Target="activeX367.bin"/></Relationships>
</file>

<file path=xl/activeX/_rels/activeX368.xml.rels><?xml version="1.0" encoding="UTF-8" standalone="yes"?>
<Relationships xmlns="http://schemas.openxmlformats.org/package/2006/relationships"><Relationship Id="rId1" Type="http://schemas.microsoft.com/office/2006/relationships/activeXControlBinary" Target="activeX368.bin"/></Relationships>
</file>

<file path=xl/activeX/_rels/activeX369.xml.rels><?xml version="1.0" encoding="UTF-8" standalone="yes"?>
<Relationships xmlns="http://schemas.openxmlformats.org/package/2006/relationships"><Relationship Id="rId1" Type="http://schemas.microsoft.com/office/2006/relationships/activeXControlBinary" Target="activeX369.bin"/></Relationships>
</file>

<file path=xl/activeX/_rels/activeX370.xml.rels><?xml version="1.0" encoding="UTF-8" standalone="yes"?>
<Relationships xmlns="http://schemas.openxmlformats.org/package/2006/relationships"><Relationship Id="rId1" Type="http://schemas.microsoft.com/office/2006/relationships/activeXControlBinary" Target="activeX370.bin"/></Relationships>
</file>

<file path=xl/activeX/_rels/activeX371.xml.rels><?xml version="1.0" encoding="UTF-8" standalone="yes"?>
<Relationships xmlns="http://schemas.openxmlformats.org/package/2006/relationships"><Relationship Id="rId1" Type="http://schemas.microsoft.com/office/2006/relationships/activeXControlBinary" Target="activeX371.bin"/></Relationships>
</file>

<file path=xl/activeX/_rels/activeX372.xml.rels><?xml version="1.0" encoding="UTF-8" standalone="yes"?>
<Relationships xmlns="http://schemas.openxmlformats.org/package/2006/relationships"><Relationship Id="rId1" Type="http://schemas.microsoft.com/office/2006/relationships/activeXControlBinary" Target="activeX372.bin"/></Relationships>
</file>

<file path=xl/activeX/_rels/activeX373.xml.rels><?xml version="1.0" encoding="UTF-8" standalone="yes"?>
<Relationships xmlns="http://schemas.openxmlformats.org/package/2006/relationships"><Relationship Id="rId1" Type="http://schemas.microsoft.com/office/2006/relationships/activeXControlBinary" Target="activeX373.bin"/></Relationships>
</file>

<file path=xl/activeX/_rels/activeX374.xml.rels><?xml version="1.0" encoding="UTF-8" standalone="yes"?>
<Relationships xmlns="http://schemas.openxmlformats.org/package/2006/relationships"><Relationship Id="rId1" Type="http://schemas.microsoft.com/office/2006/relationships/activeXControlBinary" Target="activeX374.bin"/></Relationships>
</file>

<file path=xl/activeX/_rels/activeX375.xml.rels><?xml version="1.0" encoding="UTF-8" standalone="yes"?>
<Relationships xmlns="http://schemas.openxmlformats.org/package/2006/relationships"><Relationship Id="rId1" Type="http://schemas.microsoft.com/office/2006/relationships/activeXControlBinary" Target="activeX375.bin"/></Relationships>
</file>

<file path=xl/activeX/_rels/activeX376.xml.rels><?xml version="1.0" encoding="UTF-8" standalone="yes"?>
<Relationships xmlns="http://schemas.openxmlformats.org/package/2006/relationships"><Relationship Id="rId1" Type="http://schemas.microsoft.com/office/2006/relationships/activeXControlBinary" Target="activeX376.bin"/></Relationships>
</file>

<file path=xl/activeX/_rels/activeX377.xml.rels><?xml version="1.0" encoding="UTF-8" standalone="yes"?>
<Relationships xmlns="http://schemas.openxmlformats.org/package/2006/relationships"><Relationship Id="rId1" Type="http://schemas.microsoft.com/office/2006/relationships/activeXControlBinary" Target="activeX377.bin"/></Relationships>
</file>

<file path=xl/activeX/_rels/activeX378.xml.rels><?xml version="1.0" encoding="UTF-8" standalone="yes"?>
<Relationships xmlns="http://schemas.openxmlformats.org/package/2006/relationships"><Relationship Id="rId1" Type="http://schemas.microsoft.com/office/2006/relationships/activeXControlBinary" Target="activeX378.bin"/></Relationships>
</file>

<file path=xl/activeX/_rels/activeX379.xml.rels><?xml version="1.0" encoding="UTF-8" standalone="yes"?>
<Relationships xmlns="http://schemas.openxmlformats.org/package/2006/relationships"><Relationship Id="rId1" Type="http://schemas.microsoft.com/office/2006/relationships/activeXControlBinary" Target="activeX379.bin"/></Relationships>
</file>

<file path=xl/activeX/_rels/activeX380.xml.rels><?xml version="1.0" encoding="UTF-8" standalone="yes"?>
<Relationships xmlns="http://schemas.openxmlformats.org/package/2006/relationships"><Relationship Id="rId1" Type="http://schemas.microsoft.com/office/2006/relationships/activeXControlBinary" Target="activeX380.bin"/></Relationships>
</file>

<file path=xl/activeX/_rels/activeX381.xml.rels><?xml version="1.0" encoding="UTF-8" standalone="yes"?>
<Relationships xmlns="http://schemas.openxmlformats.org/package/2006/relationships"><Relationship Id="rId1" Type="http://schemas.microsoft.com/office/2006/relationships/activeXControlBinary" Target="activeX381.bin"/></Relationships>
</file>

<file path=xl/activeX/_rels/activeX382.xml.rels><?xml version="1.0" encoding="UTF-8" standalone="yes"?>
<Relationships xmlns="http://schemas.openxmlformats.org/package/2006/relationships"><Relationship Id="rId1" Type="http://schemas.microsoft.com/office/2006/relationships/activeXControlBinary" Target="activeX382.bin"/></Relationships>
</file>

<file path=xl/activeX/_rels/activeX383.xml.rels><?xml version="1.0" encoding="UTF-8" standalone="yes"?>
<Relationships xmlns="http://schemas.openxmlformats.org/package/2006/relationships"><Relationship Id="rId1" Type="http://schemas.microsoft.com/office/2006/relationships/activeXControlBinary" Target="activeX383.bin"/></Relationships>
</file>

<file path=xl/activeX/_rels/activeX384.xml.rels><?xml version="1.0" encoding="UTF-8" standalone="yes"?>
<Relationships xmlns="http://schemas.openxmlformats.org/package/2006/relationships"><Relationship Id="rId1" Type="http://schemas.microsoft.com/office/2006/relationships/activeXControlBinary" Target="activeX384.bin"/></Relationships>
</file>

<file path=xl/activeX/_rels/activeX385.xml.rels><?xml version="1.0" encoding="UTF-8" standalone="yes"?>
<Relationships xmlns="http://schemas.openxmlformats.org/package/2006/relationships"><Relationship Id="rId1" Type="http://schemas.microsoft.com/office/2006/relationships/activeXControlBinary" Target="activeX385.bin"/></Relationships>
</file>

<file path=xl/activeX/_rels/activeX386.xml.rels><?xml version="1.0" encoding="UTF-8" standalone="yes"?>
<Relationships xmlns="http://schemas.openxmlformats.org/package/2006/relationships"><Relationship Id="rId1" Type="http://schemas.microsoft.com/office/2006/relationships/activeXControlBinary" Target="activeX386.bin"/></Relationships>
</file>

<file path=xl/activeX/_rels/activeX387.xml.rels><?xml version="1.0" encoding="UTF-8" standalone="yes"?>
<Relationships xmlns="http://schemas.openxmlformats.org/package/2006/relationships"><Relationship Id="rId1" Type="http://schemas.microsoft.com/office/2006/relationships/activeXControlBinary" Target="activeX387.bin"/></Relationships>
</file>

<file path=xl/activeX/_rels/activeX388.xml.rels><?xml version="1.0" encoding="UTF-8" standalone="yes"?>
<Relationships xmlns="http://schemas.openxmlformats.org/package/2006/relationships"><Relationship Id="rId1" Type="http://schemas.microsoft.com/office/2006/relationships/activeXControlBinary" Target="activeX388.bin"/></Relationships>
</file>

<file path=xl/activeX/_rels/activeX389.xml.rels><?xml version="1.0" encoding="UTF-8" standalone="yes"?>
<Relationships xmlns="http://schemas.openxmlformats.org/package/2006/relationships"><Relationship Id="rId1" Type="http://schemas.microsoft.com/office/2006/relationships/activeXControlBinary" Target="activeX389.bin"/></Relationships>
</file>

<file path=xl/activeX/_rels/activeX390.xml.rels><?xml version="1.0" encoding="UTF-8" standalone="yes"?>
<Relationships xmlns="http://schemas.openxmlformats.org/package/2006/relationships"><Relationship Id="rId1" Type="http://schemas.microsoft.com/office/2006/relationships/activeXControlBinary" Target="activeX390.bin"/></Relationships>
</file>

<file path=xl/activeX/_rels/activeX391.xml.rels><?xml version="1.0" encoding="UTF-8" standalone="yes"?>
<Relationships xmlns="http://schemas.openxmlformats.org/package/2006/relationships"><Relationship Id="rId1" Type="http://schemas.microsoft.com/office/2006/relationships/activeXControlBinary" Target="activeX391.bin"/></Relationships>
</file>

<file path=xl/activeX/_rels/activeX392.xml.rels><?xml version="1.0" encoding="UTF-8" standalone="yes"?>
<Relationships xmlns="http://schemas.openxmlformats.org/package/2006/relationships"><Relationship Id="rId1" Type="http://schemas.microsoft.com/office/2006/relationships/activeXControlBinary" Target="activeX392.bin"/></Relationships>
</file>

<file path=xl/activeX/_rels/activeX393.xml.rels><?xml version="1.0" encoding="UTF-8" standalone="yes"?>
<Relationships xmlns="http://schemas.openxmlformats.org/package/2006/relationships"><Relationship Id="rId1" Type="http://schemas.microsoft.com/office/2006/relationships/activeXControlBinary" Target="activeX393.bin"/></Relationships>
</file>

<file path=xl/activeX/_rels/activeX394.xml.rels><?xml version="1.0" encoding="UTF-8" standalone="yes"?>
<Relationships xmlns="http://schemas.openxmlformats.org/package/2006/relationships"><Relationship Id="rId1" Type="http://schemas.microsoft.com/office/2006/relationships/activeXControlBinary" Target="activeX394.bin"/></Relationships>
</file>

<file path=xl/activeX/_rels/activeX395.xml.rels><?xml version="1.0" encoding="UTF-8" standalone="yes"?>
<Relationships xmlns="http://schemas.openxmlformats.org/package/2006/relationships"><Relationship Id="rId1" Type="http://schemas.microsoft.com/office/2006/relationships/activeXControlBinary" Target="activeX395.bin"/></Relationships>
</file>

<file path=xl/activeX/_rels/activeX396.xml.rels><?xml version="1.0" encoding="UTF-8" standalone="yes"?>
<Relationships xmlns="http://schemas.openxmlformats.org/package/2006/relationships"><Relationship Id="rId1" Type="http://schemas.microsoft.com/office/2006/relationships/activeXControlBinary" Target="activeX396.bin"/></Relationships>
</file>

<file path=xl/activeX/_rels/activeX397.xml.rels><?xml version="1.0" encoding="UTF-8" standalone="yes"?>
<Relationships xmlns="http://schemas.openxmlformats.org/package/2006/relationships"><Relationship Id="rId1" Type="http://schemas.microsoft.com/office/2006/relationships/activeXControlBinary" Target="activeX397.bin"/></Relationships>
</file>

<file path=xl/activeX/_rels/activeX398.xml.rels><?xml version="1.0" encoding="UTF-8" standalone="yes"?>
<Relationships xmlns="http://schemas.openxmlformats.org/package/2006/relationships"><Relationship Id="rId1" Type="http://schemas.microsoft.com/office/2006/relationships/activeXControlBinary" Target="activeX398.bin"/></Relationships>
</file>

<file path=xl/activeX/_rels/activeX399.xml.rels><?xml version="1.0" encoding="UTF-8" standalone="yes"?>
<Relationships xmlns="http://schemas.openxmlformats.org/package/2006/relationships"><Relationship Id="rId1" Type="http://schemas.microsoft.com/office/2006/relationships/activeXControlBinary" Target="activeX399.bin"/></Relationships>
</file>

<file path=xl/activeX/_rels/activeX400.xml.rels><?xml version="1.0" encoding="UTF-8" standalone="yes"?>
<Relationships xmlns="http://schemas.openxmlformats.org/package/2006/relationships"><Relationship Id="rId1" Type="http://schemas.microsoft.com/office/2006/relationships/activeXControlBinary" Target="activeX400.bin"/></Relationships>
</file>

<file path=xl/activeX/_rels/activeX401.xml.rels><?xml version="1.0" encoding="UTF-8" standalone="yes"?>
<Relationships xmlns="http://schemas.openxmlformats.org/package/2006/relationships"><Relationship Id="rId1" Type="http://schemas.microsoft.com/office/2006/relationships/activeXControlBinary" Target="activeX401.bin"/></Relationships>
</file>

<file path=xl/activeX/_rels/activeX402.xml.rels><?xml version="1.0" encoding="UTF-8" standalone="yes"?>
<Relationships xmlns="http://schemas.openxmlformats.org/package/2006/relationships"><Relationship Id="rId1" Type="http://schemas.microsoft.com/office/2006/relationships/activeXControlBinary" Target="activeX402.bin"/></Relationships>
</file>

<file path=xl/activeX/_rels/activeX403.xml.rels><?xml version="1.0" encoding="UTF-8" standalone="yes"?>
<Relationships xmlns="http://schemas.openxmlformats.org/package/2006/relationships"><Relationship Id="rId1" Type="http://schemas.microsoft.com/office/2006/relationships/activeXControlBinary" Target="activeX403.bin"/></Relationships>
</file>

<file path=xl/activeX/_rels/activeX404.xml.rels><?xml version="1.0" encoding="UTF-8" standalone="yes"?>
<Relationships xmlns="http://schemas.openxmlformats.org/package/2006/relationships"><Relationship Id="rId1" Type="http://schemas.microsoft.com/office/2006/relationships/activeXControlBinary" Target="activeX404.bin"/></Relationships>
</file>

<file path=xl/activeX/_rels/activeX405.xml.rels><?xml version="1.0" encoding="UTF-8" standalone="yes"?>
<Relationships xmlns="http://schemas.openxmlformats.org/package/2006/relationships"><Relationship Id="rId1" Type="http://schemas.microsoft.com/office/2006/relationships/activeXControlBinary" Target="activeX405.bin"/></Relationships>
</file>

<file path=xl/activeX/_rels/activeX406.xml.rels><?xml version="1.0" encoding="UTF-8" standalone="yes"?>
<Relationships xmlns="http://schemas.openxmlformats.org/package/2006/relationships"><Relationship Id="rId1" Type="http://schemas.microsoft.com/office/2006/relationships/activeXControlBinary" Target="activeX406.bin"/></Relationships>
</file>

<file path=xl/activeX/_rels/activeX407.xml.rels><?xml version="1.0" encoding="UTF-8" standalone="yes"?>
<Relationships xmlns="http://schemas.openxmlformats.org/package/2006/relationships"><Relationship Id="rId1" Type="http://schemas.microsoft.com/office/2006/relationships/activeXControlBinary" Target="activeX407.bin"/></Relationships>
</file>

<file path=xl/activeX/_rels/activeX408.xml.rels><?xml version="1.0" encoding="UTF-8" standalone="yes"?>
<Relationships xmlns="http://schemas.openxmlformats.org/package/2006/relationships"><Relationship Id="rId1" Type="http://schemas.microsoft.com/office/2006/relationships/activeXControlBinary" Target="activeX408.bin"/></Relationships>
</file>

<file path=xl/activeX/_rels/activeX409.xml.rels><?xml version="1.0" encoding="UTF-8" standalone="yes"?>
<Relationships xmlns="http://schemas.openxmlformats.org/package/2006/relationships"><Relationship Id="rId1" Type="http://schemas.microsoft.com/office/2006/relationships/activeXControlBinary" Target="activeX409.bin"/></Relationships>
</file>

<file path=xl/activeX/_rels/activeX410.xml.rels><?xml version="1.0" encoding="UTF-8" standalone="yes"?>
<Relationships xmlns="http://schemas.openxmlformats.org/package/2006/relationships"><Relationship Id="rId1" Type="http://schemas.microsoft.com/office/2006/relationships/activeXControlBinary" Target="activeX410.bin"/></Relationships>
</file>

<file path=xl/activeX/_rels/activeX411.xml.rels><?xml version="1.0" encoding="UTF-8" standalone="yes"?>
<Relationships xmlns="http://schemas.openxmlformats.org/package/2006/relationships"><Relationship Id="rId1" Type="http://schemas.microsoft.com/office/2006/relationships/activeXControlBinary" Target="activeX411.bin"/></Relationships>
</file>

<file path=xl/activeX/_rels/activeX412.xml.rels><?xml version="1.0" encoding="UTF-8" standalone="yes"?>
<Relationships xmlns="http://schemas.openxmlformats.org/package/2006/relationships"><Relationship Id="rId1" Type="http://schemas.microsoft.com/office/2006/relationships/activeXControlBinary" Target="activeX412.bin"/></Relationships>
</file>

<file path=xl/activeX/_rels/activeX413.xml.rels><?xml version="1.0" encoding="UTF-8" standalone="yes"?>
<Relationships xmlns="http://schemas.openxmlformats.org/package/2006/relationships"><Relationship Id="rId1" Type="http://schemas.microsoft.com/office/2006/relationships/activeXControlBinary" Target="activeX413.bin"/></Relationships>
</file>

<file path=xl/activeX/_rels/activeX414.xml.rels><?xml version="1.0" encoding="UTF-8" standalone="yes"?>
<Relationships xmlns="http://schemas.openxmlformats.org/package/2006/relationships"><Relationship Id="rId1" Type="http://schemas.microsoft.com/office/2006/relationships/activeXControlBinary" Target="activeX414.bin"/></Relationships>
</file>

<file path=xl/activeX/_rels/activeX415.xml.rels><?xml version="1.0" encoding="UTF-8" standalone="yes"?>
<Relationships xmlns="http://schemas.openxmlformats.org/package/2006/relationships"><Relationship Id="rId1" Type="http://schemas.microsoft.com/office/2006/relationships/activeXControlBinary" Target="activeX415.bin"/></Relationships>
</file>

<file path=xl/activeX/_rels/activeX416.xml.rels><?xml version="1.0" encoding="UTF-8" standalone="yes"?>
<Relationships xmlns="http://schemas.openxmlformats.org/package/2006/relationships"><Relationship Id="rId1" Type="http://schemas.microsoft.com/office/2006/relationships/activeXControlBinary" Target="activeX416.bin"/></Relationships>
</file>

<file path=xl/activeX/_rels/activeX417.xml.rels><?xml version="1.0" encoding="UTF-8" standalone="yes"?>
<Relationships xmlns="http://schemas.openxmlformats.org/package/2006/relationships"><Relationship Id="rId1" Type="http://schemas.microsoft.com/office/2006/relationships/activeXControlBinary" Target="activeX417.bin"/></Relationships>
</file>

<file path=xl/activeX/_rels/activeX418.xml.rels><?xml version="1.0" encoding="UTF-8" standalone="yes"?>
<Relationships xmlns="http://schemas.openxmlformats.org/package/2006/relationships"><Relationship Id="rId1" Type="http://schemas.microsoft.com/office/2006/relationships/activeXControlBinary" Target="activeX418.bin"/></Relationships>
</file>

<file path=xl/activeX/_rels/activeX419.xml.rels><?xml version="1.0" encoding="UTF-8" standalone="yes"?>
<Relationships xmlns="http://schemas.openxmlformats.org/package/2006/relationships"><Relationship Id="rId1" Type="http://schemas.microsoft.com/office/2006/relationships/activeXControlBinary" Target="activeX419.bin"/></Relationships>
</file>

<file path=xl/activeX/_rels/activeX420.xml.rels><?xml version="1.0" encoding="UTF-8" standalone="yes"?>
<Relationships xmlns="http://schemas.openxmlformats.org/package/2006/relationships"><Relationship Id="rId1" Type="http://schemas.microsoft.com/office/2006/relationships/activeXControlBinary" Target="activeX420.bin"/></Relationships>
</file>

<file path=xl/activeX/_rels/activeX421.xml.rels><?xml version="1.0" encoding="UTF-8" standalone="yes"?>
<Relationships xmlns="http://schemas.openxmlformats.org/package/2006/relationships"><Relationship Id="rId1" Type="http://schemas.microsoft.com/office/2006/relationships/activeXControlBinary" Target="activeX421.bin"/></Relationships>
</file>

<file path=xl/activeX/_rels/activeX422.xml.rels><?xml version="1.0" encoding="UTF-8" standalone="yes"?>
<Relationships xmlns="http://schemas.openxmlformats.org/package/2006/relationships"><Relationship Id="rId1" Type="http://schemas.microsoft.com/office/2006/relationships/activeXControlBinary" Target="activeX422.bin"/></Relationships>
</file>

<file path=xl/activeX/_rels/activeX423.xml.rels><?xml version="1.0" encoding="UTF-8" standalone="yes"?>
<Relationships xmlns="http://schemas.openxmlformats.org/package/2006/relationships"><Relationship Id="rId1" Type="http://schemas.microsoft.com/office/2006/relationships/activeXControlBinary" Target="activeX423.bin"/></Relationships>
</file>

<file path=xl/activeX/_rels/activeX424.xml.rels><?xml version="1.0" encoding="UTF-8" standalone="yes"?>
<Relationships xmlns="http://schemas.openxmlformats.org/package/2006/relationships"><Relationship Id="rId1" Type="http://schemas.microsoft.com/office/2006/relationships/activeXControlBinary" Target="activeX424.bin"/></Relationships>
</file>

<file path=xl/activeX/_rels/activeX425.xml.rels><?xml version="1.0" encoding="UTF-8" standalone="yes"?>
<Relationships xmlns="http://schemas.openxmlformats.org/package/2006/relationships"><Relationship Id="rId1" Type="http://schemas.microsoft.com/office/2006/relationships/activeXControlBinary" Target="activeX425.bin"/></Relationships>
</file>

<file path=xl/activeX/_rels/activeX426.xml.rels><?xml version="1.0" encoding="UTF-8" standalone="yes"?>
<Relationships xmlns="http://schemas.openxmlformats.org/package/2006/relationships"><Relationship Id="rId1" Type="http://schemas.microsoft.com/office/2006/relationships/activeXControlBinary" Target="activeX426.bin"/></Relationships>
</file>

<file path=xl/activeX/_rels/activeX427.xml.rels><?xml version="1.0" encoding="UTF-8" standalone="yes"?>
<Relationships xmlns="http://schemas.openxmlformats.org/package/2006/relationships"><Relationship Id="rId1" Type="http://schemas.microsoft.com/office/2006/relationships/activeXControlBinary" Target="activeX427.bin"/></Relationships>
</file>

<file path=xl/activeX/_rels/activeX428.xml.rels><?xml version="1.0" encoding="UTF-8" standalone="yes"?>
<Relationships xmlns="http://schemas.openxmlformats.org/package/2006/relationships"><Relationship Id="rId1" Type="http://schemas.microsoft.com/office/2006/relationships/activeXControlBinary" Target="activeX428.bin"/></Relationships>
</file>

<file path=xl/activeX/_rels/activeX429.xml.rels><?xml version="1.0" encoding="UTF-8" standalone="yes"?>
<Relationships xmlns="http://schemas.openxmlformats.org/package/2006/relationships"><Relationship Id="rId1" Type="http://schemas.microsoft.com/office/2006/relationships/activeXControlBinary" Target="activeX429.bin"/></Relationships>
</file>

<file path=xl/activeX/_rels/activeX430.xml.rels><?xml version="1.0" encoding="UTF-8" standalone="yes"?>
<Relationships xmlns="http://schemas.openxmlformats.org/package/2006/relationships"><Relationship Id="rId1" Type="http://schemas.microsoft.com/office/2006/relationships/activeXControlBinary" Target="activeX430.bin"/></Relationships>
</file>

<file path=xl/activeX/_rels/activeX431.xml.rels><?xml version="1.0" encoding="UTF-8" standalone="yes"?>
<Relationships xmlns="http://schemas.openxmlformats.org/package/2006/relationships"><Relationship Id="rId1" Type="http://schemas.microsoft.com/office/2006/relationships/activeXControlBinary" Target="activeX431.bin"/></Relationships>
</file>

<file path=xl/activeX/_rels/activeX432.xml.rels><?xml version="1.0" encoding="UTF-8" standalone="yes"?>
<Relationships xmlns="http://schemas.openxmlformats.org/package/2006/relationships"><Relationship Id="rId1" Type="http://schemas.microsoft.com/office/2006/relationships/activeXControlBinary" Target="activeX432.bin"/></Relationships>
</file>

<file path=xl/activeX/_rels/activeX433.xml.rels><?xml version="1.0" encoding="UTF-8" standalone="yes"?>
<Relationships xmlns="http://schemas.openxmlformats.org/package/2006/relationships"><Relationship Id="rId1" Type="http://schemas.microsoft.com/office/2006/relationships/activeXControlBinary" Target="activeX433.bin"/></Relationships>
</file>

<file path=xl/activeX/_rels/activeX434.xml.rels><?xml version="1.0" encoding="UTF-8" standalone="yes"?>
<Relationships xmlns="http://schemas.openxmlformats.org/package/2006/relationships"><Relationship Id="rId1" Type="http://schemas.microsoft.com/office/2006/relationships/activeXControlBinary" Target="activeX434.bin"/></Relationships>
</file>

<file path=xl/activeX/_rels/activeX435.xml.rels><?xml version="1.0" encoding="UTF-8" standalone="yes"?>
<Relationships xmlns="http://schemas.openxmlformats.org/package/2006/relationships"><Relationship Id="rId1" Type="http://schemas.microsoft.com/office/2006/relationships/activeXControlBinary" Target="activeX435.bin"/></Relationships>
</file>

<file path=xl/activeX/_rels/activeX436.xml.rels><?xml version="1.0" encoding="UTF-8" standalone="yes"?>
<Relationships xmlns="http://schemas.openxmlformats.org/package/2006/relationships"><Relationship Id="rId1" Type="http://schemas.microsoft.com/office/2006/relationships/activeXControlBinary" Target="activeX436.bin"/></Relationships>
</file>

<file path=xl/activeX/_rels/activeX437.xml.rels><?xml version="1.0" encoding="UTF-8" standalone="yes"?>
<Relationships xmlns="http://schemas.openxmlformats.org/package/2006/relationships"><Relationship Id="rId1" Type="http://schemas.microsoft.com/office/2006/relationships/activeXControlBinary" Target="activeX437.bin"/></Relationships>
</file>

<file path=xl/activeX/_rels/activeX438.xml.rels><?xml version="1.0" encoding="UTF-8" standalone="yes"?>
<Relationships xmlns="http://schemas.openxmlformats.org/package/2006/relationships"><Relationship Id="rId1" Type="http://schemas.microsoft.com/office/2006/relationships/activeXControlBinary" Target="activeX438.bin"/></Relationships>
</file>

<file path=xl/activeX/_rels/activeX439.xml.rels><?xml version="1.0" encoding="UTF-8" standalone="yes"?>
<Relationships xmlns="http://schemas.openxmlformats.org/package/2006/relationships"><Relationship Id="rId1" Type="http://schemas.microsoft.com/office/2006/relationships/activeXControlBinary" Target="activeX439.bin"/></Relationships>
</file>

<file path=xl/activeX/_rels/activeX440.xml.rels><?xml version="1.0" encoding="UTF-8" standalone="yes"?>
<Relationships xmlns="http://schemas.openxmlformats.org/package/2006/relationships"><Relationship Id="rId1" Type="http://schemas.microsoft.com/office/2006/relationships/activeXControlBinary" Target="activeX440.bin"/></Relationships>
</file>

<file path=xl/activeX/_rels/activeX441.xml.rels><?xml version="1.0" encoding="UTF-8" standalone="yes"?>
<Relationships xmlns="http://schemas.openxmlformats.org/package/2006/relationships"><Relationship Id="rId1" Type="http://schemas.microsoft.com/office/2006/relationships/activeXControlBinary" Target="activeX441.bin"/></Relationships>
</file>

<file path=xl/activeX/_rels/activeX442.xml.rels><?xml version="1.0" encoding="UTF-8" standalone="yes"?>
<Relationships xmlns="http://schemas.openxmlformats.org/package/2006/relationships"><Relationship Id="rId1" Type="http://schemas.microsoft.com/office/2006/relationships/activeXControlBinary" Target="activeX442.bin"/></Relationships>
</file>

<file path=xl/activeX/_rels/activeX443.xml.rels><?xml version="1.0" encoding="UTF-8" standalone="yes"?>
<Relationships xmlns="http://schemas.openxmlformats.org/package/2006/relationships"><Relationship Id="rId1" Type="http://schemas.microsoft.com/office/2006/relationships/activeXControlBinary" Target="activeX443.bin"/></Relationships>
</file>

<file path=xl/activeX/_rels/activeX444.xml.rels><?xml version="1.0" encoding="UTF-8" standalone="yes"?>
<Relationships xmlns="http://schemas.openxmlformats.org/package/2006/relationships"><Relationship Id="rId1" Type="http://schemas.microsoft.com/office/2006/relationships/activeXControlBinary" Target="activeX444.bin"/></Relationships>
</file>

<file path=xl/activeX/_rels/activeX445.xml.rels><?xml version="1.0" encoding="UTF-8" standalone="yes"?>
<Relationships xmlns="http://schemas.openxmlformats.org/package/2006/relationships"><Relationship Id="rId1" Type="http://schemas.microsoft.com/office/2006/relationships/activeXControlBinary" Target="activeX445.bin"/></Relationships>
</file>

<file path=xl/activeX/_rels/activeX446.xml.rels><?xml version="1.0" encoding="UTF-8" standalone="yes"?>
<Relationships xmlns="http://schemas.openxmlformats.org/package/2006/relationships"><Relationship Id="rId1" Type="http://schemas.microsoft.com/office/2006/relationships/activeXControlBinary" Target="activeX446.bin"/></Relationships>
</file>

<file path=xl/activeX/_rels/activeX447.xml.rels><?xml version="1.0" encoding="UTF-8" standalone="yes"?>
<Relationships xmlns="http://schemas.openxmlformats.org/package/2006/relationships"><Relationship Id="rId1" Type="http://schemas.microsoft.com/office/2006/relationships/activeXControlBinary" Target="activeX447.bin"/></Relationships>
</file>

<file path=xl/activeX/_rels/activeX448.xml.rels><?xml version="1.0" encoding="UTF-8" standalone="yes"?>
<Relationships xmlns="http://schemas.openxmlformats.org/package/2006/relationships"><Relationship Id="rId1" Type="http://schemas.microsoft.com/office/2006/relationships/activeXControlBinary" Target="activeX448.bin"/></Relationships>
</file>

<file path=xl/activeX/_rels/activeX449.xml.rels><?xml version="1.0" encoding="UTF-8" standalone="yes"?>
<Relationships xmlns="http://schemas.openxmlformats.org/package/2006/relationships"><Relationship Id="rId1" Type="http://schemas.microsoft.com/office/2006/relationships/activeXControlBinary" Target="activeX449.bin"/></Relationships>
</file>

<file path=xl/activeX/_rels/activeX450.xml.rels><?xml version="1.0" encoding="UTF-8" standalone="yes"?>
<Relationships xmlns="http://schemas.openxmlformats.org/package/2006/relationships"><Relationship Id="rId1" Type="http://schemas.microsoft.com/office/2006/relationships/activeXControlBinary" Target="activeX450.bin"/></Relationships>
</file>

<file path=xl/activeX/_rels/activeX451.xml.rels><?xml version="1.0" encoding="UTF-8" standalone="yes"?>
<Relationships xmlns="http://schemas.openxmlformats.org/package/2006/relationships"><Relationship Id="rId1" Type="http://schemas.microsoft.com/office/2006/relationships/activeXControlBinary" Target="activeX451.bin"/></Relationships>
</file>

<file path=xl/activeX/_rels/activeX452.xml.rels><?xml version="1.0" encoding="UTF-8" standalone="yes"?>
<Relationships xmlns="http://schemas.openxmlformats.org/package/2006/relationships"><Relationship Id="rId1" Type="http://schemas.microsoft.com/office/2006/relationships/activeXControlBinary" Target="activeX452.bin"/></Relationships>
</file>

<file path=xl/activeX/_rels/activeX453.xml.rels><?xml version="1.0" encoding="UTF-8" standalone="yes"?>
<Relationships xmlns="http://schemas.openxmlformats.org/package/2006/relationships"><Relationship Id="rId1" Type="http://schemas.microsoft.com/office/2006/relationships/activeXControlBinary" Target="activeX453.bin"/></Relationships>
</file>

<file path=xl/activeX/_rels/activeX454.xml.rels><?xml version="1.0" encoding="UTF-8" standalone="yes"?>
<Relationships xmlns="http://schemas.openxmlformats.org/package/2006/relationships"><Relationship Id="rId1" Type="http://schemas.microsoft.com/office/2006/relationships/activeXControlBinary" Target="activeX454.bin"/></Relationships>
</file>

<file path=xl/activeX/_rels/activeX455.xml.rels><?xml version="1.0" encoding="UTF-8" standalone="yes"?>
<Relationships xmlns="http://schemas.openxmlformats.org/package/2006/relationships"><Relationship Id="rId1" Type="http://schemas.microsoft.com/office/2006/relationships/activeXControlBinary" Target="activeX455.bin"/></Relationships>
</file>

<file path=xl/activeX/_rels/activeX456.xml.rels><?xml version="1.0" encoding="UTF-8" standalone="yes"?>
<Relationships xmlns="http://schemas.openxmlformats.org/package/2006/relationships"><Relationship Id="rId1" Type="http://schemas.microsoft.com/office/2006/relationships/activeXControlBinary" Target="activeX456.bin"/></Relationships>
</file>

<file path=xl/activeX/_rels/activeX457.xml.rels><?xml version="1.0" encoding="UTF-8" standalone="yes"?>
<Relationships xmlns="http://schemas.openxmlformats.org/package/2006/relationships"><Relationship Id="rId1" Type="http://schemas.microsoft.com/office/2006/relationships/activeXControlBinary" Target="activeX457.bin"/></Relationships>
</file>

<file path=xl/activeX/_rels/activeX458.xml.rels><?xml version="1.0" encoding="UTF-8" standalone="yes"?>
<Relationships xmlns="http://schemas.openxmlformats.org/package/2006/relationships"><Relationship Id="rId1" Type="http://schemas.microsoft.com/office/2006/relationships/activeXControlBinary" Target="activeX458.bin"/></Relationships>
</file>

<file path=xl/activeX/_rels/activeX459.xml.rels><?xml version="1.0" encoding="UTF-8" standalone="yes"?>
<Relationships xmlns="http://schemas.openxmlformats.org/package/2006/relationships"><Relationship Id="rId1" Type="http://schemas.microsoft.com/office/2006/relationships/activeXControlBinary" Target="activeX459.bin"/></Relationships>
</file>

<file path=xl/activeX/_rels/activeX460.xml.rels><?xml version="1.0" encoding="UTF-8" standalone="yes"?>
<Relationships xmlns="http://schemas.openxmlformats.org/package/2006/relationships"><Relationship Id="rId1" Type="http://schemas.microsoft.com/office/2006/relationships/activeXControlBinary" Target="activeX460.bin"/></Relationships>
</file>

<file path=xl/activeX/_rels/activeX461.xml.rels><?xml version="1.0" encoding="UTF-8" standalone="yes"?>
<Relationships xmlns="http://schemas.openxmlformats.org/package/2006/relationships"><Relationship Id="rId1" Type="http://schemas.microsoft.com/office/2006/relationships/activeXControlBinary" Target="activeX461.bin"/></Relationships>
</file>

<file path=xl/activeX/_rels/activeX462.xml.rels><?xml version="1.0" encoding="UTF-8" standalone="yes"?>
<Relationships xmlns="http://schemas.openxmlformats.org/package/2006/relationships"><Relationship Id="rId1" Type="http://schemas.microsoft.com/office/2006/relationships/activeXControlBinary" Target="activeX462.bin"/></Relationships>
</file>

<file path=xl/activeX/_rels/activeX463.xml.rels><?xml version="1.0" encoding="UTF-8" standalone="yes"?>
<Relationships xmlns="http://schemas.openxmlformats.org/package/2006/relationships"><Relationship Id="rId1" Type="http://schemas.microsoft.com/office/2006/relationships/activeXControlBinary" Target="activeX463.bin"/></Relationships>
</file>

<file path=xl/activeX/_rels/activeX464.xml.rels><?xml version="1.0" encoding="UTF-8" standalone="yes"?>
<Relationships xmlns="http://schemas.openxmlformats.org/package/2006/relationships"><Relationship Id="rId1" Type="http://schemas.microsoft.com/office/2006/relationships/activeXControlBinary" Target="activeX464.bin"/></Relationships>
</file>

<file path=xl/activeX/_rels/activeX465.xml.rels><?xml version="1.0" encoding="UTF-8" standalone="yes"?>
<Relationships xmlns="http://schemas.openxmlformats.org/package/2006/relationships"><Relationship Id="rId1" Type="http://schemas.microsoft.com/office/2006/relationships/activeXControlBinary" Target="activeX465.bin"/></Relationships>
</file>

<file path=xl/activeX/_rels/activeX466.xml.rels><?xml version="1.0" encoding="UTF-8" standalone="yes"?>
<Relationships xmlns="http://schemas.openxmlformats.org/package/2006/relationships"><Relationship Id="rId1" Type="http://schemas.microsoft.com/office/2006/relationships/activeXControlBinary" Target="activeX466.bin"/></Relationships>
</file>

<file path=xl/activeX/_rels/activeX467.xml.rels><?xml version="1.0" encoding="UTF-8" standalone="yes"?>
<Relationships xmlns="http://schemas.openxmlformats.org/package/2006/relationships"><Relationship Id="rId1" Type="http://schemas.microsoft.com/office/2006/relationships/activeXControlBinary" Target="activeX467.bin"/></Relationships>
</file>

<file path=xl/activeX/_rels/activeX468.xml.rels><?xml version="1.0" encoding="UTF-8" standalone="yes"?>
<Relationships xmlns="http://schemas.openxmlformats.org/package/2006/relationships"><Relationship Id="rId1" Type="http://schemas.microsoft.com/office/2006/relationships/activeXControlBinary" Target="activeX468.bin"/></Relationships>
</file>

<file path=xl/activeX/_rels/activeX469.xml.rels><?xml version="1.0" encoding="UTF-8" standalone="yes"?>
<Relationships xmlns="http://schemas.openxmlformats.org/package/2006/relationships"><Relationship Id="rId1" Type="http://schemas.microsoft.com/office/2006/relationships/activeXControlBinary" Target="activeX469.bin"/></Relationships>
</file>

<file path=xl/activeX/_rels/activeX470.xml.rels><?xml version="1.0" encoding="UTF-8" standalone="yes"?>
<Relationships xmlns="http://schemas.openxmlformats.org/package/2006/relationships"><Relationship Id="rId1" Type="http://schemas.microsoft.com/office/2006/relationships/activeXControlBinary" Target="activeX470.bin"/></Relationships>
</file>

<file path=xl/activeX/_rels/activeX471.xml.rels><?xml version="1.0" encoding="UTF-8" standalone="yes"?>
<Relationships xmlns="http://schemas.openxmlformats.org/package/2006/relationships"><Relationship Id="rId1" Type="http://schemas.microsoft.com/office/2006/relationships/activeXControlBinary" Target="activeX471.bin"/></Relationships>
</file>

<file path=xl/activeX/_rels/activeX472.xml.rels><?xml version="1.0" encoding="UTF-8" standalone="yes"?>
<Relationships xmlns="http://schemas.openxmlformats.org/package/2006/relationships"><Relationship Id="rId1" Type="http://schemas.microsoft.com/office/2006/relationships/activeXControlBinary" Target="activeX472.bin"/></Relationships>
</file>

<file path=xl/activeX/_rels/activeX473.xml.rels><?xml version="1.0" encoding="UTF-8" standalone="yes"?>
<Relationships xmlns="http://schemas.openxmlformats.org/package/2006/relationships"><Relationship Id="rId1" Type="http://schemas.microsoft.com/office/2006/relationships/activeXControlBinary" Target="activeX473.bin"/></Relationships>
</file>

<file path=xl/activeX/_rels/activeX474.xml.rels><?xml version="1.0" encoding="UTF-8" standalone="yes"?>
<Relationships xmlns="http://schemas.openxmlformats.org/package/2006/relationships"><Relationship Id="rId1" Type="http://schemas.microsoft.com/office/2006/relationships/activeXControlBinary" Target="activeX474.bin"/></Relationships>
</file>

<file path=xl/activeX/_rels/activeX475.xml.rels><?xml version="1.0" encoding="UTF-8" standalone="yes"?>
<Relationships xmlns="http://schemas.openxmlformats.org/package/2006/relationships"><Relationship Id="rId1" Type="http://schemas.microsoft.com/office/2006/relationships/activeXControlBinary" Target="activeX475.bin"/></Relationships>
</file>

<file path=xl/activeX/_rels/activeX476.xml.rels><?xml version="1.0" encoding="UTF-8" standalone="yes"?>
<Relationships xmlns="http://schemas.openxmlformats.org/package/2006/relationships"><Relationship Id="rId1" Type="http://schemas.microsoft.com/office/2006/relationships/activeXControlBinary" Target="activeX476.bin"/></Relationships>
</file>

<file path=xl/activeX/_rels/activeX477.xml.rels><?xml version="1.0" encoding="UTF-8" standalone="yes"?>
<Relationships xmlns="http://schemas.openxmlformats.org/package/2006/relationships"><Relationship Id="rId1" Type="http://schemas.microsoft.com/office/2006/relationships/activeXControlBinary" Target="activeX477.bin"/></Relationships>
</file>

<file path=xl/activeX/_rels/activeX478.xml.rels><?xml version="1.0" encoding="UTF-8" standalone="yes"?>
<Relationships xmlns="http://schemas.openxmlformats.org/package/2006/relationships"><Relationship Id="rId1" Type="http://schemas.microsoft.com/office/2006/relationships/activeXControlBinary" Target="activeX478.bin"/></Relationships>
</file>

<file path=xl/activeX/_rels/activeX479.xml.rels><?xml version="1.0" encoding="UTF-8" standalone="yes"?>
<Relationships xmlns="http://schemas.openxmlformats.org/package/2006/relationships"><Relationship Id="rId1" Type="http://schemas.microsoft.com/office/2006/relationships/activeXControlBinary" Target="activeX479.bin"/></Relationships>
</file>

<file path=xl/activeX/_rels/activeX480.xml.rels><?xml version="1.0" encoding="UTF-8" standalone="yes"?>
<Relationships xmlns="http://schemas.openxmlformats.org/package/2006/relationships"><Relationship Id="rId1" Type="http://schemas.microsoft.com/office/2006/relationships/activeXControlBinary" Target="activeX480.bin"/></Relationships>
</file>

<file path=xl/activeX/_rels/activeX481.xml.rels><?xml version="1.0" encoding="UTF-8" standalone="yes"?>
<Relationships xmlns="http://schemas.openxmlformats.org/package/2006/relationships"><Relationship Id="rId1" Type="http://schemas.microsoft.com/office/2006/relationships/activeXControlBinary" Target="activeX481.bin"/></Relationships>
</file>

<file path=xl/activeX/_rels/activeX482.xml.rels><?xml version="1.0" encoding="UTF-8" standalone="yes"?>
<Relationships xmlns="http://schemas.openxmlformats.org/package/2006/relationships"><Relationship Id="rId1" Type="http://schemas.microsoft.com/office/2006/relationships/activeXControlBinary" Target="activeX482.bin"/></Relationships>
</file>

<file path=xl/activeX/_rels/activeX483.xml.rels><?xml version="1.0" encoding="UTF-8" standalone="yes"?>
<Relationships xmlns="http://schemas.openxmlformats.org/package/2006/relationships"><Relationship Id="rId1" Type="http://schemas.microsoft.com/office/2006/relationships/activeXControlBinary" Target="activeX483.bin"/></Relationships>
</file>

<file path=xl/activeX/_rels/activeX484.xml.rels><?xml version="1.0" encoding="UTF-8" standalone="yes"?>
<Relationships xmlns="http://schemas.openxmlformats.org/package/2006/relationships"><Relationship Id="rId1" Type="http://schemas.microsoft.com/office/2006/relationships/activeXControlBinary" Target="activeX484.bin"/></Relationships>
</file>

<file path=xl/activeX/_rels/activeX485.xml.rels><?xml version="1.0" encoding="UTF-8" standalone="yes"?>
<Relationships xmlns="http://schemas.openxmlformats.org/package/2006/relationships"><Relationship Id="rId1" Type="http://schemas.microsoft.com/office/2006/relationships/activeXControlBinary" Target="activeX485.bin"/></Relationships>
</file>

<file path=xl/activeX/_rels/activeX486.xml.rels><?xml version="1.0" encoding="UTF-8" standalone="yes"?>
<Relationships xmlns="http://schemas.openxmlformats.org/package/2006/relationships"><Relationship Id="rId1" Type="http://schemas.microsoft.com/office/2006/relationships/activeXControlBinary" Target="activeX486.bin"/></Relationships>
</file>

<file path=xl/activeX/_rels/activeX487.xml.rels><?xml version="1.0" encoding="UTF-8" standalone="yes"?>
<Relationships xmlns="http://schemas.openxmlformats.org/package/2006/relationships"><Relationship Id="rId1" Type="http://schemas.microsoft.com/office/2006/relationships/activeXControlBinary" Target="activeX487.bin"/></Relationships>
</file>

<file path=xl/activeX/_rels/activeX488.xml.rels><?xml version="1.0" encoding="UTF-8" standalone="yes"?>
<Relationships xmlns="http://schemas.openxmlformats.org/package/2006/relationships"><Relationship Id="rId1" Type="http://schemas.microsoft.com/office/2006/relationships/activeXControlBinary" Target="activeX488.bin"/></Relationships>
</file>

<file path=xl/activeX/_rels/activeX489.xml.rels><?xml version="1.0" encoding="UTF-8" standalone="yes"?>
<Relationships xmlns="http://schemas.openxmlformats.org/package/2006/relationships"><Relationship Id="rId1" Type="http://schemas.microsoft.com/office/2006/relationships/activeXControlBinary" Target="activeX489.bin"/></Relationships>
</file>

<file path=xl/activeX/_rels/activeX490.xml.rels><?xml version="1.0" encoding="UTF-8" standalone="yes"?>
<Relationships xmlns="http://schemas.openxmlformats.org/package/2006/relationships"><Relationship Id="rId1" Type="http://schemas.microsoft.com/office/2006/relationships/activeXControlBinary" Target="activeX490.bin"/></Relationships>
</file>

<file path=xl/activeX/_rels/activeX491.xml.rels><?xml version="1.0" encoding="UTF-8" standalone="yes"?>
<Relationships xmlns="http://schemas.openxmlformats.org/package/2006/relationships"><Relationship Id="rId1" Type="http://schemas.microsoft.com/office/2006/relationships/activeXControlBinary" Target="activeX491.bin"/></Relationships>
</file>

<file path=xl/activeX/_rels/activeX492.xml.rels><?xml version="1.0" encoding="UTF-8" standalone="yes"?>
<Relationships xmlns="http://schemas.openxmlformats.org/package/2006/relationships"><Relationship Id="rId1" Type="http://schemas.microsoft.com/office/2006/relationships/activeXControlBinary" Target="activeX492.bin"/></Relationships>
</file>

<file path=xl/activeX/_rels/activeX493.xml.rels><?xml version="1.0" encoding="UTF-8" standalone="yes"?>
<Relationships xmlns="http://schemas.openxmlformats.org/package/2006/relationships"><Relationship Id="rId1" Type="http://schemas.microsoft.com/office/2006/relationships/activeXControlBinary" Target="activeX493.bin"/></Relationships>
</file>

<file path=xl/activeX/_rels/activeX494.xml.rels><?xml version="1.0" encoding="UTF-8" standalone="yes"?>
<Relationships xmlns="http://schemas.openxmlformats.org/package/2006/relationships"><Relationship Id="rId1" Type="http://schemas.microsoft.com/office/2006/relationships/activeXControlBinary" Target="activeX494.bin"/></Relationships>
</file>

<file path=xl/activeX/_rels/activeX495.xml.rels><?xml version="1.0" encoding="UTF-8" standalone="yes"?>
<Relationships xmlns="http://schemas.openxmlformats.org/package/2006/relationships"><Relationship Id="rId1" Type="http://schemas.microsoft.com/office/2006/relationships/activeXControlBinary" Target="activeX495.bin"/></Relationships>
</file>

<file path=xl/activeX/_rels/activeX496.xml.rels><?xml version="1.0" encoding="UTF-8" standalone="yes"?>
<Relationships xmlns="http://schemas.openxmlformats.org/package/2006/relationships"><Relationship Id="rId1" Type="http://schemas.microsoft.com/office/2006/relationships/activeXControlBinary" Target="activeX496.bin"/></Relationships>
</file>

<file path=xl/activeX/_rels/activeX497.xml.rels><?xml version="1.0" encoding="UTF-8" standalone="yes"?>
<Relationships xmlns="http://schemas.openxmlformats.org/package/2006/relationships"><Relationship Id="rId1" Type="http://schemas.microsoft.com/office/2006/relationships/activeXControlBinary" Target="activeX497.bin"/></Relationships>
</file>

<file path=xl/activeX/_rels/activeX498.xml.rels><?xml version="1.0" encoding="UTF-8" standalone="yes"?>
<Relationships xmlns="http://schemas.openxmlformats.org/package/2006/relationships"><Relationship Id="rId1" Type="http://schemas.microsoft.com/office/2006/relationships/activeXControlBinary" Target="activeX498.bin"/></Relationships>
</file>

<file path=xl/activeX/_rels/activeX499.xml.rels><?xml version="1.0" encoding="UTF-8" standalone="yes"?>
<Relationships xmlns="http://schemas.openxmlformats.org/package/2006/relationships"><Relationship Id="rId1" Type="http://schemas.microsoft.com/office/2006/relationships/activeXControlBinary" Target="activeX499.bin"/></Relationships>
</file>

<file path=xl/activeX/_rels/activeX500.xml.rels><?xml version="1.0" encoding="UTF-8" standalone="yes"?>
<Relationships xmlns="http://schemas.openxmlformats.org/package/2006/relationships"><Relationship Id="rId1" Type="http://schemas.microsoft.com/office/2006/relationships/activeXControlBinary" Target="activeX500.bin"/></Relationships>
</file>

<file path=xl/activeX/_rels/activeX501.xml.rels><?xml version="1.0" encoding="UTF-8" standalone="yes"?>
<Relationships xmlns="http://schemas.openxmlformats.org/package/2006/relationships"><Relationship Id="rId1" Type="http://schemas.microsoft.com/office/2006/relationships/activeXControlBinary" Target="activeX501.bin"/></Relationships>
</file>

<file path=xl/activeX/_rels/activeX502.xml.rels><?xml version="1.0" encoding="UTF-8" standalone="yes"?>
<Relationships xmlns="http://schemas.openxmlformats.org/package/2006/relationships"><Relationship Id="rId1" Type="http://schemas.microsoft.com/office/2006/relationships/activeXControlBinary" Target="activeX502.bin"/></Relationships>
</file>

<file path=xl/activeX/_rels/activeX503.xml.rels><?xml version="1.0" encoding="UTF-8" standalone="yes"?>
<Relationships xmlns="http://schemas.openxmlformats.org/package/2006/relationships"><Relationship Id="rId1" Type="http://schemas.microsoft.com/office/2006/relationships/activeXControlBinary" Target="activeX503.bin"/></Relationships>
</file>

<file path=xl/activeX/_rels/activeX504.xml.rels><?xml version="1.0" encoding="UTF-8" standalone="yes"?>
<Relationships xmlns="http://schemas.openxmlformats.org/package/2006/relationships"><Relationship Id="rId1" Type="http://schemas.microsoft.com/office/2006/relationships/activeXControlBinary" Target="activeX504.bin"/></Relationships>
</file>

<file path=xl/activeX/_rels/activeX505.xml.rels><?xml version="1.0" encoding="UTF-8" standalone="yes"?>
<Relationships xmlns="http://schemas.openxmlformats.org/package/2006/relationships"><Relationship Id="rId1" Type="http://schemas.microsoft.com/office/2006/relationships/activeXControlBinary" Target="activeX505.bin"/></Relationships>
</file>

<file path=xl/activeX/_rels/activeX506.xml.rels><?xml version="1.0" encoding="UTF-8" standalone="yes"?>
<Relationships xmlns="http://schemas.openxmlformats.org/package/2006/relationships"><Relationship Id="rId1" Type="http://schemas.microsoft.com/office/2006/relationships/activeXControlBinary" Target="activeX506.bin"/></Relationships>
</file>

<file path=xl/activeX/_rels/activeX507.xml.rels><?xml version="1.0" encoding="UTF-8" standalone="yes"?>
<Relationships xmlns="http://schemas.openxmlformats.org/package/2006/relationships"><Relationship Id="rId1" Type="http://schemas.microsoft.com/office/2006/relationships/activeXControlBinary" Target="activeX507.bin"/></Relationships>
</file>

<file path=xl/activeX/_rels/activeX508.xml.rels><?xml version="1.0" encoding="UTF-8" standalone="yes"?>
<Relationships xmlns="http://schemas.openxmlformats.org/package/2006/relationships"><Relationship Id="rId1" Type="http://schemas.microsoft.com/office/2006/relationships/activeXControlBinary" Target="activeX508.bin"/></Relationships>
</file>

<file path=xl/activeX/_rels/activeX509.xml.rels><?xml version="1.0" encoding="UTF-8" standalone="yes"?>
<Relationships xmlns="http://schemas.openxmlformats.org/package/2006/relationships"><Relationship Id="rId1" Type="http://schemas.microsoft.com/office/2006/relationships/activeXControlBinary" Target="activeX509.bin"/></Relationships>
</file>

<file path=xl/activeX/_rels/activeX510.xml.rels><?xml version="1.0" encoding="UTF-8" standalone="yes"?>
<Relationships xmlns="http://schemas.openxmlformats.org/package/2006/relationships"><Relationship Id="rId1" Type="http://schemas.microsoft.com/office/2006/relationships/activeXControlBinary" Target="activeX510.bin"/></Relationships>
</file>

<file path=xl/activeX/_rels/activeX511.xml.rels><?xml version="1.0" encoding="UTF-8" standalone="yes"?>
<Relationships xmlns="http://schemas.openxmlformats.org/package/2006/relationships"><Relationship Id="rId1" Type="http://schemas.microsoft.com/office/2006/relationships/activeXControlBinary" Target="activeX511.bin"/></Relationships>
</file>

<file path=xl/activeX/_rels/activeX512.xml.rels><?xml version="1.0" encoding="UTF-8" standalone="yes"?>
<Relationships xmlns="http://schemas.openxmlformats.org/package/2006/relationships"><Relationship Id="rId1" Type="http://schemas.microsoft.com/office/2006/relationships/activeXControlBinary" Target="activeX512.bin"/></Relationships>
</file>

<file path=xl/activeX/_rels/activeX513.xml.rels><?xml version="1.0" encoding="UTF-8" standalone="yes"?>
<Relationships xmlns="http://schemas.openxmlformats.org/package/2006/relationships"><Relationship Id="rId1" Type="http://schemas.microsoft.com/office/2006/relationships/activeXControlBinary" Target="activeX513.bin"/></Relationships>
</file>

<file path=xl/activeX/_rels/activeX514.xml.rels><?xml version="1.0" encoding="UTF-8" standalone="yes"?>
<Relationships xmlns="http://schemas.openxmlformats.org/package/2006/relationships"><Relationship Id="rId1" Type="http://schemas.microsoft.com/office/2006/relationships/activeXControlBinary" Target="activeX514.bin"/></Relationships>
</file>

<file path=xl/activeX/_rels/activeX515.xml.rels><?xml version="1.0" encoding="UTF-8" standalone="yes"?>
<Relationships xmlns="http://schemas.openxmlformats.org/package/2006/relationships"><Relationship Id="rId1" Type="http://schemas.microsoft.com/office/2006/relationships/activeXControlBinary" Target="activeX515.bin"/></Relationships>
</file>

<file path=xl/activeX/_rels/activeX516.xml.rels><?xml version="1.0" encoding="UTF-8" standalone="yes"?>
<Relationships xmlns="http://schemas.openxmlformats.org/package/2006/relationships"><Relationship Id="rId1" Type="http://schemas.microsoft.com/office/2006/relationships/activeXControlBinary" Target="activeX516.bin"/></Relationships>
</file>

<file path=xl/activeX/_rels/activeX517.xml.rels><?xml version="1.0" encoding="UTF-8" standalone="yes"?>
<Relationships xmlns="http://schemas.openxmlformats.org/package/2006/relationships"><Relationship Id="rId1" Type="http://schemas.microsoft.com/office/2006/relationships/activeXControlBinary" Target="activeX517.bin"/></Relationships>
</file>

<file path=xl/activeX/_rels/activeX518.xml.rels><?xml version="1.0" encoding="UTF-8" standalone="yes"?>
<Relationships xmlns="http://schemas.openxmlformats.org/package/2006/relationships"><Relationship Id="rId1" Type="http://schemas.microsoft.com/office/2006/relationships/activeXControlBinary" Target="activeX518.bin"/></Relationships>
</file>

<file path=xl/activeX/_rels/activeX519.xml.rels><?xml version="1.0" encoding="UTF-8" standalone="yes"?>
<Relationships xmlns="http://schemas.openxmlformats.org/package/2006/relationships"><Relationship Id="rId1" Type="http://schemas.microsoft.com/office/2006/relationships/activeXControlBinary" Target="activeX519.bin"/></Relationships>
</file>

<file path=xl/activeX/_rels/activeX520.xml.rels><?xml version="1.0" encoding="UTF-8" standalone="yes"?>
<Relationships xmlns="http://schemas.openxmlformats.org/package/2006/relationships"><Relationship Id="rId1" Type="http://schemas.microsoft.com/office/2006/relationships/activeXControlBinary" Target="activeX520.bin"/></Relationships>
</file>

<file path=xl/activeX/_rels/activeX521.xml.rels><?xml version="1.0" encoding="UTF-8" standalone="yes"?>
<Relationships xmlns="http://schemas.openxmlformats.org/package/2006/relationships"><Relationship Id="rId1" Type="http://schemas.microsoft.com/office/2006/relationships/activeXControlBinary" Target="activeX521.bin"/></Relationships>
</file>

<file path=xl/activeX/_rels/activeX522.xml.rels><?xml version="1.0" encoding="UTF-8" standalone="yes"?>
<Relationships xmlns="http://schemas.openxmlformats.org/package/2006/relationships"><Relationship Id="rId1" Type="http://schemas.microsoft.com/office/2006/relationships/activeXControlBinary" Target="activeX522.bin"/></Relationships>
</file>

<file path=xl/activeX/_rels/activeX523.xml.rels><?xml version="1.0" encoding="UTF-8" standalone="yes"?>
<Relationships xmlns="http://schemas.openxmlformats.org/package/2006/relationships"><Relationship Id="rId1" Type="http://schemas.microsoft.com/office/2006/relationships/activeXControlBinary" Target="activeX523.bin"/></Relationships>
</file>

<file path=xl/activeX/_rels/activeX524.xml.rels><?xml version="1.0" encoding="UTF-8" standalone="yes"?>
<Relationships xmlns="http://schemas.openxmlformats.org/package/2006/relationships"><Relationship Id="rId1" Type="http://schemas.microsoft.com/office/2006/relationships/activeXControlBinary" Target="activeX524.bin"/></Relationships>
</file>

<file path=xl/activeX/_rels/activeX525.xml.rels><?xml version="1.0" encoding="UTF-8" standalone="yes"?>
<Relationships xmlns="http://schemas.openxmlformats.org/package/2006/relationships"><Relationship Id="rId1" Type="http://schemas.microsoft.com/office/2006/relationships/activeXControlBinary" Target="activeX525.bin"/></Relationships>
</file>

<file path=xl/activeX/_rels/activeX526.xml.rels><?xml version="1.0" encoding="UTF-8" standalone="yes"?>
<Relationships xmlns="http://schemas.openxmlformats.org/package/2006/relationships"><Relationship Id="rId1" Type="http://schemas.microsoft.com/office/2006/relationships/activeXControlBinary" Target="activeX526.bin"/></Relationships>
</file>

<file path=xl/activeX/_rels/activeX527.xml.rels><?xml version="1.0" encoding="UTF-8" standalone="yes"?>
<Relationships xmlns="http://schemas.openxmlformats.org/package/2006/relationships"><Relationship Id="rId1" Type="http://schemas.microsoft.com/office/2006/relationships/activeXControlBinary" Target="activeX527.bin"/></Relationships>
</file>

<file path=xl/activeX/_rels/activeX528.xml.rels><?xml version="1.0" encoding="UTF-8" standalone="yes"?>
<Relationships xmlns="http://schemas.openxmlformats.org/package/2006/relationships"><Relationship Id="rId1" Type="http://schemas.microsoft.com/office/2006/relationships/activeXControlBinary" Target="activeX528.bin"/></Relationships>
</file>

<file path=xl/activeX/_rels/activeX529.xml.rels><?xml version="1.0" encoding="UTF-8" standalone="yes"?>
<Relationships xmlns="http://schemas.openxmlformats.org/package/2006/relationships"><Relationship Id="rId1" Type="http://schemas.microsoft.com/office/2006/relationships/activeXControlBinary" Target="activeX529.bin"/></Relationships>
</file>

<file path=xl/activeX/_rels/activeX530.xml.rels><?xml version="1.0" encoding="UTF-8" standalone="yes"?>
<Relationships xmlns="http://schemas.openxmlformats.org/package/2006/relationships"><Relationship Id="rId1" Type="http://schemas.microsoft.com/office/2006/relationships/activeXControlBinary" Target="activeX530.bin"/></Relationships>
</file>

<file path=xl/activeX/_rels/activeX531.xml.rels><?xml version="1.0" encoding="UTF-8" standalone="yes"?>
<Relationships xmlns="http://schemas.openxmlformats.org/package/2006/relationships"><Relationship Id="rId1" Type="http://schemas.microsoft.com/office/2006/relationships/activeXControlBinary" Target="activeX531.bin"/></Relationships>
</file>

<file path=xl/activeX/_rels/activeX532.xml.rels><?xml version="1.0" encoding="UTF-8" standalone="yes"?>
<Relationships xmlns="http://schemas.openxmlformats.org/package/2006/relationships"><Relationship Id="rId1" Type="http://schemas.microsoft.com/office/2006/relationships/activeXControlBinary" Target="activeX532.bin"/></Relationships>
</file>

<file path=xl/activeX/_rels/activeX533.xml.rels><?xml version="1.0" encoding="UTF-8" standalone="yes"?>
<Relationships xmlns="http://schemas.openxmlformats.org/package/2006/relationships"><Relationship Id="rId1" Type="http://schemas.microsoft.com/office/2006/relationships/activeXControlBinary" Target="activeX533.bin"/></Relationships>
</file>

<file path=xl/activeX/_rels/activeX534.xml.rels><?xml version="1.0" encoding="UTF-8" standalone="yes"?>
<Relationships xmlns="http://schemas.openxmlformats.org/package/2006/relationships"><Relationship Id="rId1" Type="http://schemas.microsoft.com/office/2006/relationships/activeXControlBinary" Target="activeX534.bin"/></Relationships>
</file>

<file path=xl/activeX/_rels/activeX535.xml.rels><?xml version="1.0" encoding="UTF-8" standalone="yes"?>
<Relationships xmlns="http://schemas.openxmlformats.org/package/2006/relationships"><Relationship Id="rId1" Type="http://schemas.microsoft.com/office/2006/relationships/activeXControlBinary" Target="activeX535.bin"/></Relationships>
</file>

<file path=xl/activeX/_rels/activeX536.xml.rels><?xml version="1.0" encoding="UTF-8" standalone="yes"?>
<Relationships xmlns="http://schemas.openxmlformats.org/package/2006/relationships"><Relationship Id="rId1" Type="http://schemas.microsoft.com/office/2006/relationships/activeXControlBinary" Target="activeX536.bin"/></Relationships>
</file>

<file path=xl/activeX/_rels/activeX537.xml.rels><?xml version="1.0" encoding="UTF-8" standalone="yes"?>
<Relationships xmlns="http://schemas.openxmlformats.org/package/2006/relationships"><Relationship Id="rId1" Type="http://schemas.microsoft.com/office/2006/relationships/activeXControlBinary" Target="activeX537.bin"/></Relationships>
</file>

<file path=xl/activeX/_rels/activeX538.xml.rels><?xml version="1.0" encoding="UTF-8" standalone="yes"?>
<Relationships xmlns="http://schemas.openxmlformats.org/package/2006/relationships"><Relationship Id="rId1" Type="http://schemas.microsoft.com/office/2006/relationships/activeXControlBinary" Target="activeX538.bin"/></Relationships>
</file>

<file path=xl/activeX/_rels/activeX539.xml.rels><?xml version="1.0" encoding="UTF-8" standalone="yes"?>
<Relationships xmlns="http://schemas.openxmlformats.org/package/2006/relationships"><Relationship Id="rId1" Type="http://schemas.microsoft.com/office/2006/relationships/activeXControlBinary" Target="activeX539.bin"/></Relationships>
</file>

<file path=xl/activeX/_rels/activeX540.xml.rels><?xml version="1.0" encoding="UTF-8" standalone="yes"?>
<Relationships xmlns="http://schemas.openxmlformats.org/package/2006/relationships"><Relationship Id="rId1" Type="http://schemas.microsoft.com/office/2006/relationships/activeXControlBinary" Target="activeX540.bin"/></Relationships>
</file>

<file path=xl/activeX/_rels/activeX541.xml.rels><?xml version="1.0" encoding="UTF-8" standalone="yes"?>
<Relationships xmlns="http://schemas.openxmlformats.org/package/2006/relationships"><Relationship Id="rId1" Type="http://schemas.microsoft.com/office/2006/relationships/activeXControlBinary" Target="activeX541.bin"/></Relationships>
</file>

<file path=xl/activeX/_rels/activeX542.xml.rels><?xml version="1.0" encoding="UTF-8" standalone="yes"?>
<Relationships xmlns="http://schemas.openxmlformats.org/package/2006/relationships"><Relationship Id="rId1" Type="http://schemas.microsoft.com/office/2006/relationships/activeXControlBinary" Target="activeX542.bin"/></Relationships>
</file>

<file path=xl/activeX/_rels/activeX543.xml.rels><?xml version="1.0" encoding="UTF-8" standalone="yes"?>
<Relationships xmlns="http://schemas.openxmlformats.org/package/2006/relationships"><Relationship Id="rId1" Type="http://schemas.microsoft.com/office/2006/relationships/activeXControlBinary" Target="activeX543.bin"/></Relationships>
</file>

<file path=xl/activeX/_rels/activeX544.xml.rels><?xml version="1.0" encoding="UTF-8" standalone="yes"?>
<Relationships xmlns="http://schemas.openxmlformats.org/package/2006/relationships"><Relationship Id="rId1" Type="http://schemas.microsoft.com/office/2006/relationships/activeXControlBinary" Target="activeX544.bin"/></Relationships>
</file>

<file path=xl/activeX/_rels/activeX545.xml.rels><?xml version="1.0" encoding="UTF-8" standalone="yes"?>
<Relationships xmlns="http://schemas.openxmlformats.org/package/2006/relationships"><Relationship Id="rId1" Type="http://schemas.microsoft.com/office/2006/relationships/activeXControlBinary" Target="activeX545.bin"/></Relationships>
</file>

<file path=xl/activeX/_rels/activeX546.xml.rels><?xml version="1.0" encoding="UTF-8" standalone="yes"?>
<Relationships xmlns="http://schemas.openxmlformats.org/package/2006/relationships"><Relationship Id="rId1" Type="http://schemas.microsoft.com/office/2006/relationships/activeXControlBinary" Target="activeX546.bin"/></Relationships>
</file>

<file path=xl/activeX/_rels/activeX547.xml.rels><?xml version="1.0" encoding="UTF-8" standalone="yes"?>
<Relationships xmlns="http://schemas.openxmlformats.org/package/2006/relationships"><Relationship Id="rId1" Type="http://schemas.microsoft.com/office/2006/relationships/activeXControlBinary" Target="activeX547.bin"/></Relationships>
</file>

<file path=xl/activeX/_rels/activeX548.xml.rels><?xml version="1.0" encoding="UTF-8" standalone="yes"?>
<Relationships xmlns="http://schemas.openxmlformats.org/package/2006/relationships"><Relationship Id="rId1" Type="http://schemas.microsoft.com/office/2006/relationships/activeXControlBinary" Target="activeX548.bin"/></Relationships>
</file>

<file path=xl/activeX/_rels/activeX549.xml.rels><?xml version="1.0" encoding="UTF-8" standalone="yes"?>
<Relationships xmlns="http://schemas.openxmlformats.org/package/2006/relationships"><Relationship Id="rId1" Type="http://schemas.microsoft.com/office/2006/relationships/activeXControlBinary" Target="activeX549.bin"/></Relationships>
</file>

<file path=xl/activeX/_rels/activeX550.xml.rels><?xml version="1.0" encoding="UTF-8" standalone="yes"?>
<Relationships xmlns="http://schemas.openxmlformats.org/package/2006/relationships"><Relationship Id="rId1" Type="http://schemas.microsoft.com/office/2006/relationships/activeXControlBinary" Target="activeX550.bin"/></Relationships>
</file>

<file path=xl/activeX/_rels/activeX551.xml.rels><?xml version="1.0" encoding="UTF-8" standalone="yes"?>
<Relationships xmlns="http://schemas.openxmlformats.org/package/2006/relationships"><Relationship Id="rId1" Type="http://schemas.microsoft.com/office/2006/relationships/activeXControlBinary" Target="activeX551.bin"/></Relationships>
</file>

<file path=xl/activeX/_rels/activeX552.xml.rels><?xml version="1.0" encoding="UTF-8" standalone="yes"?>
<Relationships xmlns="http://schemas.openxmlformats.org/package/2006/relationships"><Relationship Id="rId1" Type="http://schemas.microsoft.com/office/2006/relationships/activeXControlBinary" Target="activeX552.bin"/></Relationships>
</file>

<file path=xl/activeX/_rels/activeX553.xml.rels><?xml version="1.0" encoding="UTF-8" standalone="yes"?>
<Relationships xmlns="http://schemas.openxmlformats.org/package/2006/relationships"><Relationship Id="rId1" Type="http://schemas.microsoft.com/office/2006/relationships/activeXControlBinary" Target="activeX553.bin"/></Relationships>
</file>

<file path=xl/activeX/_rels/activeX554.xml.rels><?xml version="1.0" encoding="UTF-8" standalone="yes"?>
<Relationships xmlns="http://schemas.openxmlformats.org/package/2006/relationships"><Relationship Id="rId1" Type="http://schemas.microsoft.com/office/2006/relationships/activeXControlBinary" Target="activeX554.bin"/></Relationships>
</file>

<file path=xl/activeX/_rels/activeX555.xml.rels><?xml version="1.0" encoding="UTF-8" standalone="yes"?>
<Relationships xmlns="http://schemas.openxmlformats.org/package/2006/relationships"><Relationship Id="rId1" Type="http://schemas.microsoft.com/office/2006/relationships/activeXControlBinary" Target="activeX555.bin"/></Relationships>
</file>

<file path=xl/activeX/_rels/activeX556.xml.rels><?xml version="1.0" encoding="UTF-8" standalone="yes"?>
<Relationships xmlns="http://schemas.openxmlformats.org/package/2006/relationships"><Relationship Id="rId1" Type="http://schemas.microsoft.com/office/2006/relationships/activeXControlBinary" Target="activeX556.bin"/></Relationships>
</file>

<file path=xl/activeX/_rels/activeX557.xml.rels><?xml version="1.0" encoding="UTF-8" standalone="yes"?>
<Relationships xmlns="http://schemas.openxmlformats.org/package/2006/relationships"><Relationship Id="rId1" Type="http://schemas.microsoft.com/office/2006/relationships/activeXControlBinary" Target="activeX557.bin"/></Relationships>
</file>

<file path=xl/activeX/_rels/activeX558.xml.rels><?xml version="1.0" encoding="UTF-8" standalone="yes"?>
<Relationships xmlns="http://schemas.openxmlformats.org/package/2006/relationships"><Relationship Id="rId1" Type="http://schemas.microsoft.com/office/2006/relationships/activeXControlBinary" Target="activeX558.bin"/></Relationships>
</file>

<file path=xl/activeX/_rels/activeX559.xml.rels><?xml version="1.0" encoding="UTF-8" standalone="yes"?>
<Relationships xmlns="http://schemas.openxmlformats.org/package/2006/relationships"><Relationship Id="rId1" Type="http://schemas.microsoft.com/office/2006/relationships/activeXControlBinary" Target="activeX559.bin"/></Relationships>
</file>

<file path=xl/activeX/_rels/activeX560.xml.rels><?xml version="1.0" encoding="UTF-8" standalone="yes"?>
<Relationships xmlns="http://schemas.openxmlformats.org/package/2006/relationships"><Relationship Id="rId1" Type="http://schemas.microsoft.com/office/2006/relationships/activeXControlBinary" Target="activeX560.bin"/></Relationships>
</file>

<file path=xl/activeX/_rels/activeX561.xml.rels><?xml version="1.0" encoding="UTF-8" standalone="yes"?>
<Relationships xmlns="http://schemas.openxmlformats.org/package/2006/relationships"><Relationship Id="rId1" Type="http://schemas.microsoft.com/office/2006/relationships/activeXControlBinary" Target="activeX561.bin"/></Relationships>
</file>

<file path=xl/activeX/_rels/activeX562.xml.rels><?xml version="1.0" encoding="UTF-8" standalone="yes"?>
<Relationships xmlns="http://schemas.openxmlformats.org/package/2006/relationships"><Relationship Id="rId1" Type="http://schemas.microsoft.com/office/2006/relationships/activeXControlBinary" Target="activeX562.bin"/></Relationships>
</file>

<file path=xl/activeX/_rels/activeX563.xml.rels><?xml version="1.0" encoding="UTF-8" standalone="yes"?>
<Relationships xmlns="http://schemas.openxmlformats.org/package/2006/relationships"><Relationship Id="rId1" Type="http://schemas.microsoft.com/office/2006/relationships/activeXControlBinary" Target="activeX563.bin"/></Relationships>
</file>

<file path=xl/activeX/_rels/activeX564.xml.rels><?xml version="1.0" encoding="UTF-8" standalone="yes"?>
<Relationships xmlns="http://schemas.openxmlformats.org/package/2006/relationships"><Relationship Id="rId1" Type="http://schemas.microsoft.com/office/2006/relationships/activeXControlBinary" Target="activeX564.bin"/></Relationships>
</file>

<file path=xl/activeX/_rels/activeX565.xml.rels><?xml version="1.0" encoding="UTF-8" standalone="yes"?>
<Relationships xmlns="http://schemas.openxmlformats.org/package/2006/relationships"><Relationship Id="rId1" Type="http://schemas.microsoft.com/office/2006/relationships/activeXControlBinary" Target="activeX565.bin"/></Relationships>
</file>

<file path=xl/activeX/_rels/activeX566.xml.rels><?xml version="1.0" encoding="UTF-8" standalone="yes"?>
<Relationships xmlns="http://schemas.openxmlformats.org/package/2006/relationships"><Relationship Id="rId1" Type="http://schemas.microsoft.com/office/2006/relationships/activeXControlBinary" Target="activeX566.bin"/></Relationships>
</file>

<file path=xl/activeX/_rels/activeX567.xml.rels><?xml version="1.0" encoding="UTF-8" standalone="yes"?>
<Relationships xmlns="http://schemas.openxmlformats.org/package/2006/relationships"><Relationship Id="rId1" Type="http://schemas.microsoft.com/office/2006/relationships/activeXControlBinary" Target="activeX567.bin"/></Relationships>
</file>

<file path=xl/activeX/_rels/activeX568.xml.rels><?xml version="1.0" encoding="UTF-8" standalone="yes"?>
<Relationships xmlns="http://schemas.openxmlformats.org/package/2006/relationships"><Relationship Id="rId1" Type="http://schemas.microsoft.com/office/2006/relationships/activeXControlBinary" Target="activeX568.bin"/></Relationships>
</file>

<file path=xl/activeX/_rels/activeX569.xml.rels><?xml version="1.0" encoding="UTF-8" standalone="yes"?>
<Relationships xmlns="http://schemas.openxmlformats.org/package/2006/relationships"><Relationship Id="rId1" Type="http://schemas.microsoft.com/office/2006/relationships/activeXControlBinary" Target="activeX569.bin"/></Relationships>
</file>

<file path=xl/activeX/_rels/activeX570.xml.rels><?xml version="1.0" encoding="UTF-8" standalone="yes"?>
<Relationships xmlns="http://schemas.openxmlformats.org/package/2006/relationships"><Relationship Id="rId1" Type="http://schemas.microsoft.com/office/2006/relationships/activeXControlBinary" Target="activeX570.bin"/></Relationships>
</file>

<file path=xl/activeX/_rels/activeX571.xml.rels><?xml version="1.0" encoding="UTF-8" standalone="yes"?>
<Relationships xmlns="http://schemas.openxmlformats.org/package/2006/relationships"><Relationship Id="rId1" Type="http://schemas.microsoft.com/office/2006/relationships/activeXControlBinary" Target="activeX571.bin"/></Relationships>
</file>

<file path=xl/activeX/_rels/activeX572.xml.rels><?xml version="1.0" encoding="UTF-8" standalone="yes"?>
<Relationships xmlns="http://schemas.openxmlformats.org/package/2006/relationships"><Relationship Id="rId1" Type="http://schemas.microsoft.com/office/2006/relationships/activeXControlBinary" Target="activeX572.bin"/></Relationships>
</file>

<file path=xl/activeX/_rels/activeX573.xml.rels><?xml version="1.0" encoding="UTF-8" standalone="yes"?>
<Relationships xmlns="http://schemas.openxmlformats.org/package/2006/relationships"><Relationship Id="rId1" Type="http://schemas.microsoft.com/office/2006/relationships/activeXControlBinary" Target="activeX573.bin"/></Relationships>
</file>

<file path=xl/activeX/_rels/activeX574.xml.rels><?xml version="1.0" encoding="UTF-8" standalone="yes"?>
<Relationships xmlns="http://schemas.openxmlformats.org/package/2006/relationships"><Relationship Id="rId1" Type="http://schemas.microsoft.com/office/2006/relationships/activeXControlBinary" Target="activeX574.bin"/></Relationships>
</file>

<file path=xl/activeX/_rels/activeX575.xml.rels><?xml version="1.0" encoding="UTF-8" standalone="yes"?>
<Relationships xmlns="http://schemas.openxmlformats.org/package/2006/relationships"><Relationship Id="rId1" Type="http://schemas.microsoft.com/office/2006/relationships/activeXControlBinary" Target="activeX575.bin"/></Relationships>
</file>

<file path=xl/activeX/_rels/activeX576.xml.rels><?xml version="1.0" encoding="UTF-8" standalone="yes"?>
<Relationships xmlns="http://schemas.openxmlformats.org/package/2006/relationships"><Relationship Id="rId1" Type="http://schemas.microsoft.com/office/2006/relationships/activeXControlBinary" Target="activeX576.bin"/></Relationships>
</file>

<file path=xl/activeX/_rels/activeX577.xml.rels><?xml version="1.0" encoding="UTF-8" standalone="yes"?>
<Relationships xmlns="http://schemas.openxmlformats.org/package/2006/relationships"><Relationship Id="rId1" Type="http://schemas.microsoft.com/office/2006/relationships/activeXControlBinary" Target="activeX577.bin"/></Relationships>
</file>

<file path=xl/activeX/_rels/activeX578.xml.rels><?xml version="1.0" encoding="UTF-8" standalone="yes"?>
<Relationships xmlns="http://schemas.openxmlformats.org/package/2006/relationships"><Relationship Id="rId1" Type="http://schemas.microsoft.com/office/2006/relationships/activeXControlBinary" Target="activeX578.bin"/></Relationships>
</file>

<file path=xl/activeX/_rels/activeX579.xml.rels><?xml version="1.0" encoding="UTF-8" standalone="yes"?>
<Relationships xmlns="http://schemas.openxmlformats.org/package/2006/relationships"><Relationship Id="rId1" Type="http://schemas.microsoft.com/office/2006/relationships/activeXControlBinary" Target="activeX579.bin"/></Relationships>
</file>

<file path=xl/activeX/_rels/activeX580.xml.rels><?xml version="1.0" encoding="UTF-8" standalone="yes"?>
<Relationships xmlns="http://schemas.openxmlformats.org/package/2006/relationships"><Relationship Id="rId1" Type="http://schemas.microsoft.com/office/2006/relationships/activeXControlBinary" Target="activeX580.bin"/></Relationships>
</file>

<file path=xl/activeX/_rels/activeX581.xml.rels><?xml version="1.0" encoding="UTF-8" standalone="yes"?>
<Relationships xmlns="http://schemas.openxmlformats.org/package/2006/relationships"><Relationship Id="rId1" Type="http://schemas.microsoft.com/office/2006/relationships/activeXControlBinary" Target="activeX581.bin"/></Relationships>
</file>

<file path=xl/activeX/_rels/activeX582.xml.rels><?xml version="1.0" encoding="UTF-8" standalone="yes"?>
<Relationships xmlns="http://schemas.openxmlformats.org/package/2006/relationships"><Relationship Id="rId1" Type="http://schemas.microsoft.com/office/2006/relationships/activeXControlBinary" Target="activeX582.bin"/></Relationships>
</file>

<file path=xl/activeX/_rels/activeX583.xml.rels><?xml version="1.0" encoding="UTF-8" standalone="yes"?>
<Relationships xmlns="http://schemas.openxmlformats.org/package/2006/relationships"><Relationship Id="rId1" Type="http://schemas.microsoft.com/office/2006/relationships/activeXControlBinary" Target="activeX583.bin"/></Relationships>
</file>

<file path=xl/activeX/_rels/activeX584.xml.rels><?xml version="1.0" encoding="UTF-8" standalone="yes"?>
<Relationships xmlns="http://schemas.openxmlformats.org/package/2006/relationships"><Relationship Id="rId1" Type="http://schemas.microsoft.com/office/2006/relationships/activeXControlBinary" Target="activeX584.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activeX/activeX10.xml><?xml version="1.0" encoding="utf-8"?>
<ax:ocx xmlns:ax="http://schemas.microsoft.com/office/2006/activeX" xmlns:r="http://schemas.openxmlformats.org/officeDocument/2006/relationships" ax:classid="{8BD21D40-EC42-11CE-9E0D-00AA006002F3}" ax:persistence="persistStreamInit" r:id="rId1"/>
</file>

<file path=xl/activeX/activeX11.xml><?xml version="1.0" encoding="utf-8"?>
<ax:ocx xmlns:ax="http://schemas.microsoft.com/office/2006/activeX" xmlns:r="http://schemas.openxmlformats.org/officeDocument/2006/relationships" ax:classid="{8BD21D40-EC42-11CE-9E0D-00AA006002F3}" ax:persistence="persistStreamInit" r:id="rId1"/>
</file>

<file path=xl/activeX/activeX12.xml><?xml version="1.0" encoding="utf-8"?>
<ax:ocx xmlns:ax="http://schemas.microsoft.com/office/2006/activeX" xmlns:r="http://schemas.openxmlformats.org/officeDocument/2006/relationships" ax:classid="{8BD21D40-EC42-11CE-9E0D-00AA006002F3}" ax:persistence="persistStreamInit" r:id="rId1"/>
</file>

<file path=xl/activeX/activeX13.xml><?xml version="1.0" encoding="utf-8"?>
<ax:ocx xmlns:ax="http://schemas.microsoft.com/office/2006/activeX" xmlns:r="http://schemas.openxmlformats.org/officeDocument/2006/relationships" ax:classid="{8BD21D40-EC42-11CE-9E0D-00AA006002F3}" ax:persistence="persistStreamInit" r:id="rId1"/>
</file>

<file path=xl/activeX/activeX14.xml><?xml version="1.0" encoding="utf-8"?>
<ax:ocx xmlns:ax="http://schemas.microsoft.com/office/2006/activeX" xmlns:r="http://schemas.openxmlformats.org/officeDocument/2006/relationships" ax:classid="{8BD21D40-EC42-11CE-9E0D-00AA006002F3}" ax:persistence="persistStreamInit" r:id="rId1"/>
</file>

<file path=xl/activeX/activeX15.xml><?xml version="1.0" encoding="utf-8"?>
<ax:ocx xmlns:ax="http://schemas.microsoft.com/office/2006/activeX" xmlns:r="http://schemas.openxmlformats.org/officeDocument/2006/relationships" ax:classid="{8BD21D40-EC42-11CE-9E0D-00AA006002F3}" ax:persistence="persistStreamInit" r:id="rId1"/>
</file>

<file path=xl/activeX/activeX16.xml><?xml version="1.0" encoding="utf-8"?>
<ax:ocx xmlns:ax="http://schemas.microsoft.com/office/2006/activeX" xmlns:r="http://schemas.openxmlformats.org/officeDocument/2006/relationships" ax:classid="{8BD21D40-EC42-11CE-9E0D-00AA006002F3}" ax:persistence="persistStreamInit" r:id="rId1"/>
</file>

<file path=xl/activeX/activeX17.xml><?xml version="1.0" encoding="utf-8"?>
<ax:ocx xmlns:ax="http://schemas.microsoft.com/office/2006/activeX" xmlns:r="http://schemas.openxmlformats.org/officeDocument/2006/relationships" ax:classid="{8BD21D40-EC42-11CE-9E0D-00AA006002F3}" ax:persistence="persistStreamInit" r:id="rId1"/>
</file>

<file path=xl/activeX/activeX18.xml><?xml version="1.0" encoding="utf-8"?>
<ax:ocx xmlns:ax="http://schemas.microsoft.com/office/2006/activeX" xmlns:r="http://schemas.openxmlformats.org/officeDocument/2006/relationships" ax:classid="{8BD21D40-EC42-11CE-9E0D-00AA006002F3}" ax:persistence="persistStreamInit" r:id="rId1"/>
</file>

<file path=xl/activeX/activeX19.xml><?xml version="1.0" encoding="utf-8"?>
<ax:ocx xmlns:ax="http://schemas.microsoft.com/office/2006/activeX" xmlns:r="http://schemas.openxmlformats.org/officeDocument/2006/relationships" ax:classid="{8BD21D40-EC42-11CE-9E0D-00AA006002F3}" ax:persistence="persistStreamInit" r:id="rId1"/>
</file>

<file path=xl/activeX/activeX20.xml><?xml version="1.0" encoding="utf-8"?>
<ax:ocx xmlns:ax="http://schemas.microsoft.com/office/2006/activeX" xmlns:r="http://schemas.openxmlformats.org/officeDocument/2006/relationships" ax:classid="{8BD21D40-EC42-11CE-9E0D-00AA006002F3}" ax:persistence="persistStreamInit" r:id="rId1"/>
</file>

<file path=xl/activeX/activeX21.xml><?xml version="1.0" encoding="utf-8"?>
<ax:ocx xmlns:ax="http://schemas.microsoft.com/office/2006/activeX" xmlns:r="http://schemas.openxmlformats.org/officeDocument/2006/relationships" ax:classid="{8BD21D40-EC42-11CE-9E0D-00AA006002F3}" ax:persistence="persistStreamInit" r:id="rId1"/>
</file>

<file path=xl/activeX/activeX22.xml><?xml version="1.0" encoding="utf-8"?>
<ax:ocx xmlns:ax="http://schemas.microsoft.com/office/2006/activeX" xmlns:r="http://schemas.openxmlformats.org/officeDocument/2006/relationships" ax:classid="{8BD21D40-EC42-11CE-9E0D-00AA006002F3}" ax:persistence="persistStreamInit" r:id="rId1"/>
</file>

<file path=xl/activeX/activeX23.xml><?xml version="1.0" encoding="utf-8"?>
<ax:ocx xmlns:ax="http://schemas.microsoft.com/office/2006/activeX" xmlns:r="http://schemas.openxmlformats.org/officeDocument/2006/relationships" ax:classid="{8BD21D40-EC42-11CE-9E0D-00AA006002F3}" ax:persistence="persistStreamInit" r:id="rId1"/>
</file>

<file path=xl/activeX/activeX24.xml><?xml version="1.0" encoding="utf-8"?>
<ax:ocx xmlns:ax="http://schemas.microsoft.com/office/2006/activeX" xmlns:r="http://schemas.openxmlformats.org/officeDocument/2006/relationships" ax:classid="{8BD21D40-EC42-11CE-9E0D-00AA006002F3}" ax:persistence="persistStreamInit" r:id="rId1"/>
</file>

<file path=xl/activeX/activeX25.xml><?xml version="1.0" encoding="utf-8"?>
<ax:ocx xmlns:ax="http://schemas.microsoft.com/office/2006/activeX" xmlns:r="http://schemas.openxmlformats.org/officeDocument/2006/relationships" ax:classid="{8BD21D40-EC42-11CE-9E0D-00AA006002F3}" ax:persistence="persistStreamInit" r:id="rId1"/>
</file>

<file path=xl/activeX/activeX26.xml><?xml version="1.0" encoding="utf-8"?>
<ax:ocx xmlns:ax="http://schemas.microsoft.com/office/2006/activeX" xmlns:r="http://schemas.openxmlformats.org/officeDocument/2006/relationships" ax:classid="{8BD21D40-EC42-11CE-9E0D-00AA006002F3}" ax:persistence="persistStreamInit" r:id="rId1"/>
</file>

<file path=xl/activeX/activeX27.xml><?xml version="1.0" encoding="utf-8"?>
<ax:ocx xmlns:ax="http://schemas.microsoft.com/office/2006/activeX" xmlns:r="http://schemas.openxmlformats.org/officeDocument/2006/relationships" ax:classid="{8BD21D40-EC42-11CE-9E0D-00AA006002F3}" ax:persistence="persistStreamInit" r:id="rId1"/>
</file>

<file path=xl/activeX/activeX28.xml><?xml version="1.0" encoding="utf-8"?>
<ax:ocx xmlns:ax="http://schemas.microsoft.com/office/2006/activeX" xmlns:r="http://schemas.openxmlformats.org/officeDocument/2006/relationships" ax:classid="{8BD21D40-EC42-11CE-9E0D-00AA006002F3}" ax:persistence="persistStreamInit" r:id="rId1"/>
</file>

<file path=xl/activeX/activeX29.xml><?xml version="1.0" encoding="utf-8"?>
<ax:ocx xmlns:ax="http://schemas.microsoft.com/office/2006/activeX" xmlns:r="http://schemas.openxmlformats.org/officeDocument/2006/relationships" ax:classid="{8BD21D40-EC42-11CE-9E0D-00AA006002F3}" ax:persistence="persistStreamInit" r:id="rId1"/>
</file>

<file path=xl/activeX/activeX30.xml><?xml version="1.0" encoding="utf-8"?>
<ax:ocx xmlns:ax="http://schemas.microsoft.com/office/2006/activeX" xmlns:r="http://schemas.openxmlformats.org/officeDocument/2006/relationships" ax:classid="{8BD21D40-EC42-11CE-9E0D-00AA006002F3}" ax:persistence="persistStreamInit" r:id="rId1"/>
</file>

<file path=xl/activeX/activeX31.xml><?xml version="1.0" encoding="utf-8"?>
<ax:ocx xmlns:ax="http://schemas.microsoft.com/office/2006/activeX" xmlns:r="http://schemas.openxmlformats.org/officeDocument/2006/relationships" ax:classid="{8BD21D40-EC42-11CE-9E0D-00AA006002F3}" ax:persistence="persistStreamInit" r:id="rId1"/>
</file>

<file path=xl/activeX/activeX32.xml><?xml version="1.0" encoding="utf-8"?>
<ax:ocx xmlns:ax="http://schemas.microsoft.com/office/2006/activeX" xmlns:r="http://schemas.openxmlformats.org/officeDocument/2006/relationships" ax:classid="{8BD21D40-EC42-11CE-9E0D-00AA006002F3}" ax:persistence="persistStreamInit" r:id="rId1"/>
</file>

<file path=xl/activeX/activeX33.xml><?xml version="1.0" encoding="utf-8"?>
<ax:ocx xmlns:ax="http://schemas.microsoft.com/office/2006/activeX" xmlns:r="http://schemas.openxmlformats.org/officeDocument/2006/relationships" ax:classid="{8BD21D40-EC42-11CE-9E0D-00AA006002F3}" ax:persistence="persistStreamInit" r:id="rId1"/>
</file>

<file path=xl/activeX/activeX34.xml><?xml version="1.0" encoding="utf-8"?>
<ax:ocx xmlns:ax="http://schemas.microsoft.com/office/2006/activeX" xmlns:r="http://schemas.openxmlformats.org/officeDocument/2006/relationships" ax:classid="{8BD21D40-EC42-11CE-9E0D-00AA006002F3}" ax:persistence="persistStreamInit" r:id="rId1"/>
</file>

<file path=xl/activeX/activeX35.xml><?xml version="1.0" encoding="utf-8"?>
<ax:ocx xmlns:ax="http://schemas.microsoft.com/office/2006/activeX" xmlns:r="http://schemas.openxmlformats.org/officeDocument/2006/relationships" ax:classid="{8BD21D40-EC42-11CE-9E0D-00AA006002F3}" ax:persistence="persistStreamInit" r:id="rId1"/>
</file>

<file path=xl/activeX/activeX36.xml><?xml version="1.0" encoding="utf-8"?>
<ax:ocx xmlns:ax="http://schemas.microsoft.com/office/2006/activeX" xmlns:r="http://schemas.openxmlformats.org/officeDocument/2006/relationships" ax:classid="{8BD21D40-EC42-11CE-9E0D-00AA006002F3}" ax:persistence="persistStreamInit" r:id="rId1"/>
</file>

<file path=xl/activeX/activeX37.xml><?xml version="1.0" encoding="utf-8"?>
<ax:ocx xmlns:ax="http://schemas.microsoft.com/office/2006/activeX" xmlns:r="http://schemas.openxmlformats.org/officeDocument/2006/relationships" ax:classid="{8BD21D40-EC42-11CE-9E0D-00AA006002F3}" ax:persistence="persistStreamInit" r:id="rId1"/>
</file>

<file path=xl/activeX/activeX38.xml><?xml version="1.0" encoding="utf-8"?>
<ax:ocx xmlns:ax="http://schemas.microsoft.com/office/2006/activeX" xmlns:r="http://schemas.openxmlformats.org/officeDocument/2006/relationships" ax:classid="{8BD21D40-EC42-11CE-9E0D-00AA006002F3}" ax:persistence="persistStreamInit" r:id="rId1"/>
</file>

<file path=xl/activeX/activeX39.xml><?xml version="1.0" encoding="utf-8"?>
<ax:ocx xmlns:ax="http://schemas.microsoft.com/office/2006/activeX" xmlns:r="http://schemas.openxmlformats.org/officeDocument/2006/relationships" ax:classid="{8BD21D40-EC42-11CE-9E0D-00AA006002F3}" ax:persistence="persistStreamInit" r:id="rId1"/>
</file>

<file path=xl/activeX/activeX40.xml><?xml version="1.0" encoding="utf-8"?>
<ax:ocx xmlns:ax="http://schemas.microsoft.com/office/2006/activeX" xmlns:r="http://schemas.openxmlformats.org/officeDocument/2006/relationships" ax:classid="{8BD21D40-EC42-11CE-9E0D-00AA006002F3}" ax:persistence="persistStreamInit" r:id="rId1"/>
</file>

<file path=xl/activeX/activeX41.xml><?xml version="1.0" encoding="utf-8"?>
<ax:ocx xmlns:ax="http://schemas.microsoft.com/office/2006/activeX" xmlns:r="http://schemas.openxmlformats.org/officeDocument/2006/relationships" ax:classid="{8BD21D40-EC42-11CE-9E0D-00AA006002F3}" ax:persistence="persistStreamInit" r:id="rId1"/>
</file>

<file path=xl/activeX/activeX42.xml><?xml version="1.0" encoding="utf-8"?>
<ax:ocx xmlns:ax="http://schemas.microsoft.com/office/2006/activeX" xmlns:r="http://schemas.openxmlformats.org/officeDocument/2006/relationships" ax:classid="{8BD21D40-EC42-11CE-9E0D-00AA006002F3}" ax:persistence="persistStreamInit" r:id="rId1"/>
</file>

<file path=xl/activeX/activeX43.xml><?xml version="1.0" encoding="utf-8"?>
<ax:ocx xmlns:ax="http://schemas.microsoft.com/office/2006/activeX" xmlns:r="http://schemas.openxmlformats.org/officeDocument/2006/relationships" ax:classid="{8BD21D40-EC42-11CE-9E0D-00AA006002F3}" ax:persistence="persistStreamInit" r:id="rId1"/>
</file>

<file path=xl/activeX/activeX44.xml><?xml version="1.0" encoding="utf-8"?>
<ax:ocx xmlns:ax="http://schemas.microsoft.com/office/2006/activeX" xmlns:r="http://schemas.openxmlformats.org/officeDocument/2006/relationships" ax:classid="{8BD21D40-EC42-11CE-9E0D-00AA006002F3}" ax:persistence="persistStreamInit" r:id="rId1"/>
</file>

<file path=xl/activeX/activeX45.xml><?xml version="1.0" encoding="utf-8"?>
<ax:ocx xmlns:ax="http://schemas.microsoft.com/office/2006/activeX" xmlns:r="http://schemas.openxmlformats.org/officeDocument/2006/relationships" ax:classid="{8BD21D40-EC42-11CE-9E0D-00AA006002F3}" ax:persistence="persistStreamInit" r:id="rId1"/>
</file>

<file path=xl/activeX/activeX46.xml><?xml version="1.0" encoding="utf-8"?>
<ax:ocx xmlns:ax="http://schemas.microsoft.com/office/2006/activeX" xmlns:r="http://schemas.openxmlformats.org/officeDocument/2006/relationships" ax:classid="{8BD21D40-EC42-11CE-9E0D-00AA006002F3}" ax:persistence="persistStreamInit" r:id="rId1"/>
</file>

<file path=xl/activeX/activeX47.xml><?xml version="1.0" encoding="utf-8"?>
<ax:ocx xmlns:ax="http://schemas.microsoft.com/office/2006/activeX" xmlns:r="http://schemas.openxmlformats.org/officeDocument/2006/relationships" ax:classid="{8BD21D40-EC42-11CE-9E0D-00AA006002F3}" ax:persistence="persistStreamInit" r:id="rId1"/>
</file>

<file path=xl/activeX/activeX48.xml><?xml version="1.0" encoding="utf-8"?>
<ax:ocx xmlns:ax="http://schemas.microsoft.com/office/2006/activeX" xmlns:r="http://schemas.openxmlformats.org/officeDocument/2006/relationships" ax:classid="{8BD21D40-EC42-11CE-9E0D-00AA006002F3}" ax:persistence="persistStreamInit" r:id="rId1"/>
</file>

<file path=xl/activeX/activeX49.xml><?xml version="1.0" encoding="utf-8"?>
<ax:ocx xmlns:ax="http://schemas.microsoft.com/office/2006/activeX" xmlns:r="http://schemas.openxmlformats.org/officeDocument/2006/relationships" ax:classid="{8BD21D40-EC42-11CE-9E0D-00AA006002F3}" ax:persistence="persistStreamInit" r:id="rId1"/>
</file>

<file path=xl/activeX/activeX50.xml><?xml version="1.0" encoding="utf-8"?>
<ax:ocx xmlns:ax="http://schemas.microsoft.com/office/2006/activeX" xmlns:r="http://schemas.openxmlformats.org/officeDocument/2006/relationships" ax:classid="{8BD21D40-EC42-11CE-9E0D-00AA006002F3}" ax:persistence="persistStreamInit" r:id="rId1"/>
</file>

<file path=xl/activeX/activeX51.xml><?xml version="1.0" encoding="utf-8"?>
<ax:ocx xmlns:ax="http://schemas.microsoft.com/office/2006/activeX" xmlns:r="http://schemas.openxmlformats.org/officeDocument/2006/relationships" ax:classid="{8BD21D40-EC42-11CE-9E0D-00AA006002F3}" ax:persistence="persistStreamInit" r:id="rId1"/>
</file>

<file path=xl/activeX/activeX52.xml><?xml version="1.0" encoding="utf-8"?>
<ax:ocx xmlns:ax="http://schemas.microsoft.com/office/2006/activeX" xmlns:r="http://schemas.openxmlformats.org/officeDocument/2006/relationships" ax:classid="{8BD21D40-EC42-11CE-9E0D-00AA006002F3}" ax:persistence="persistStreamInit" r:id="rId1"/>
</file>

<file path=xl/activeX/activeX53.xml><?xml version="1.0" encoding="utf-8"?>
<ax:ocx xmlns:ax="http://schemas.microsoft.com/office/2006/activeX" xmlns:r="http://schemas.openxmlformats.org/officeDocument/2006/relationships" ax:classid="{8BD21D40-EC42-11CE-9E0D-00AA006002F3}" ax:persistence="persistStreamInit" r:id="rId1"/>
</file>

<file path=xl/activeX/activeX54.xml><?xml version="1.0" encoding="utf-8"?>
<ax:ocx xmlns:ax="http://schemas.microsoft.com/office/2006/activeX" xmlns:r="http://schemas.openxmlformats.org/officeDocument/2006/relationships" ax:classid="{8BD21D40-EC42-11CE-9E0D-00AA006002F3}" ax:persistence="persistStreamInit" r:id="rId1"/>
</file>

<file path=xl/activeX/activeX55.xml><?xml version="1.0" encoding="utf-8"?>
<ax:ocx xmlns:ax="http://schemas.microsoft.com/office/2006/activeX" xmlns:r="http://schemas.openxmlformats.org/officeDocument/2006/relationships" ax:classid="{8BD21D40-EC42-11CE-9E0D-00AA006002F3}" ax:persistence="persistStreamInit" r:id="rId1"/>
</file>

<file path=xl/activeX/activeX56.xml><?xml version="1.0" encoding="utf-8"?>
<ax:ocx xmlns:ax="http://schemas.microsoft.com/office/2006/activeX" xmlns:r="http://schemas.openxmlformats.org/officeDocument/2006/relationships" ax:classid="{8BD21D40-EC42-11CE-9E0D-00AA006002F3}" ax:persistence="persistStreamInit" r:id="rId1"/>
</file>

<file path=xl/activeX/activeX57.xml><?xml version="1.0" encoding="utf-8"?>
<ax:ocx xmlns:ax="http://schemas.microsoft.com/office/2006/activeX" xmlns:r="http://schemas.openxmlformats.org/officeDocument/2006/relationships" ax:classid="{8BD21D40-EC42-11CE-9E0D-00AA006002F3}" ax:persistence="persistStreamInit" r:id="rId1"/>
</file>

<file path=xl/activeX/activeX58.xml><?xml version="1.0" encoding="utf-8"?>
<ax:ocx xmlns:ax="http://schemas.microsoft.com/office/2006/activeX" xmlns:r="http://schemas.openxmlformats.org/officeDocument/2006/relationships" ax:classid="{8BD21D40-EC42-11CE-9E0D-00AA006002F3}" ax:persistence="persistStreamInit" r:id="rId1"/>
</file>

<file path=xl/activeX/activeX59.xml><?xml version="1.0" encoding="utf-8"?>
<ax:ocx xmlns:ax="http://schemas.microsoft.com/office/2006/activeX" xmlns:r="http://schemas.openxmlformats.org/officeDocument/2006/relationships" ax:classid="{8BD21D40-EC42-11CE-9E0D-00AA006002F3}" ax:persistence="persistStreamInit" r:id="rId1"/>
</file>

<file path=xl/activeX/activeX60.xml><?xml version="1.0" encoding="utf-8"?>
<ax:ocx xmlns:ax="http://schemas.microsoft.com/office/2006/activeX" xmlns:r="http://schemas.openxmlformats.org/officeDocument/2006/relationships" ax:classid="{8BD21D40-EC42-11CE-9E0D-00AA006002F3}" ax:persistence="persistStreamInit" r:id="rId1"/>
</file>

<file path=xl/activeX/activeX61.xml><?xml version="1.0" encoding="utf-8"?>
<ax:ocx xmlns:ax="http://schemas.microsoft.com/office/2006/activeX" xmlns:r="http://schemas.openxmlformats.org/officeDocument/2006/relationships" ax:classid="{8BD21D40-EC42-11CE-9E0D-00AA006002F3}" ax:persistence="persistStreamInit" r:id="rId1"/>
</file>

<file path=xl/activeX/activeX62.xml><?xml version="1.0" encoding="utf-8"?>
<ax:ocx xmlns:ax="http://schemas.microsoft.com/office/2006/activeX" xmlns:r="http://schemas.openxmlformats.org/officeDocument/2006/relationships" ax:classid="{8BD21D40-EC42-11CE-9E0D-00AA006002F3}" ax:persistence="persistStreamInit" r:id="rId1"/>
</file>

<file path=xl/activeX/activeX63.xml><?xml version="1.0" encoding="utf-8"?>
<ax:ocx xmlns:ax="http://schemas.microsoft.com/office/2006/activeX" xmlns:r="http://schemas.openxmlformats.org/officeDocument/2006/relationships" ax:classid="{8BD21D40-EC42-11CE-9E0D-00AA006002F3}" ax:persistence="persistStreamInit" r:id="rId1"/>
</file>

<file path=xl/activeX/activeX64.xml><?xml version="1.0" encoding="utf-8"?>
<ax:ocx xmlns:ax="http://schemas.microsoft.com/office/2006/activeX" xmlns:r="http://schemas.openxmlformats.org/officeDocument/2006/relationships" ax:classid="{8BD21D40-EC42-11CE-9E0D-00AA006002F3}" ax:persistence="persistStreamInit" r:id="rId1"/>
</file>

<file path=xl/activeX/activeX65.xml><?xml version="1.0" encoding="utf-8"?>
<ax:ocx xmlns:ax="http://schemas.microsoft.com/office/2006/activeX" xmlns:r="http://schemas.openxmlformats.org/officeDocument/2006/relationships" ax:classid="{8BD21D40-EC42-11CE-9E0D-00AA006002F3}" ax:persistence="persistStreamInit" r:id="rId1"/>
</file>

<file path=xl/activeX/activeX66.xml><?xml version="1.0" encoding="utf-8"?>
<ax:ocx xmlns:ax="http://schemas.microsoft.com/office/2006/activeX" xmlns:r="http://schemas.openxmlformats.org/officeDocument/2006/relationships" ax:classid="{8BD21D40-EC42-11CE-9E0D-00AA006002F3}" ax:persistence="persistStreamInit" r:id="rId1"/>
</file>

<file path=xl/activeX/activeX67.xml><?xml version="1.0" encoding="utf-8"?>
<ax:ocx xmlns:ax="http://schemas.microsoft.com/office/2006/activeX" xmlns:r="http://schemas.openxmlformats.org/officeDocument/2006/relationships" ax:classid="{8BD21D40-EC42-11CE-9E0D-00AA006002F3}" ax:persistence="persistStreamInit" r:id="rId1"/>
</file>

<file path=xl/activeX/activeX68.xml><?xml version="1.0" encoding="utf-8"?>
<ax:ocx xmlns:ax="http://schemas.microsoft.com/office/2006/activeX" xmlns:r="http://schemas.openxmlformats.org/officeDocument/2006/relationships" ax:classid="{8BD21D40-EC42-11CE-9E0D-00AA006002F3}" ax:persistence="persistStreamInit" r:id="rId1"/>
</file>

<file path=xl/activeX/activeX69.xml><?xml version="1.0" encoding="utf-8"?>
<ax:ocx xmlns:ax="http://schemas.microsoft.com/office/2006/activeX" xmlns:r="http://schemas.openxmlformats.org/officeDocument/2006/relationships" ax:classid="{8BD21D40-EC42-11CE-9E0D-00AA006002F3}" ax:persistence="persistStreamInit" r:id="rId1"/>
</file>

<file path=xl/activeX/activeX70.xml><?xml version="1.0" encoding="utf-8"?>
<ax:ocx xmlns:ax="http://schemas.microsoft.com/office/2006/activeX" xmlns:r="http://schemas.openxmlformats.org/officeDocument/2006/relationships" ax:classid="{8BD21D40-EC42-11CE-9E0D-00AA006002F3}" ax:persistence="persistStreamInit" r:id="rId1"/>
</file>

<file path=xl/activeX/activeX71.xml><?xml version="1.0" encoding="utf-8"?>
<ax:ocx xmlns:ax="http://schemas.microsoft.com/office/2006/activeX" xmlns:r="http://schemas.openxmlformats.org/officeDocument/2006/relationships" ax:classid="{8BD21D40-EC42-11CE-9E0D-00AA006002F3}" ax:persistence="persistStreamInit" r:id="rId1"/>
</file>

<file path=xl/activeX/activeX72.xml><?xml version="1.0" encoding="utf-8"?>
<ax:ocx xmlns:ax="http://schemas.microsoft.com/office/2006/activeX" xmlns:r="http://schemas.openxmlformats.org/officeDocument/2006/relationships" ax:classid="{8BD21D40-EC42-11CE-9E0D-00AA006002F3}" ax:persistence="persistStreamInit" r:id="rId1"/>
</file>

<file path=xl/activeX/activeX73.xml><?xml version="1.0" encoding="utf-8"?>
<ax:ocx xmlns:ax="http://schemas.microsoft.com/office/2006/activeX" xmlns:r="http://schemas.openxmlformats.org/officeDocument/2006/relationships" ax:classid="{8BD21D40-EC42-11CE-9E0D-00AA006002F3}" ax:persistence="persistStreamInit" r:id="rId1"/>
</file>

<file path=xl/activeX/activeX74.xml><?xml version="1.0" encoding="utf-8"?>
<ax:ocx xmlns:ax="http://schemas.microsoft.com/office/2006/activeX" xmlns:r="http://schemas.openxmlformats.org/officeDocument/2006/relationships" ax:classid="{8BD21D40-EC42-11CE-9E0D-00AA006002F3}" ax:persistence="persistStreamInit" r:id="rId1"/>
</file>

<file path=xl/activeX/activeX75.xml><?xml version="1.0" encoding="utf-8"?>
<ax:ocx xmlns:ax="http://schemas.microsoft.com/office/2006/activeX" xmlns:r="http://schemas.openxmlformats.org/officeDocument/2006/relationships" ax:classid="{8BD21D40-EC42-11CE-9E0D-00AA006002F3}" ax:persistence="persistStreamInit" r:id="rId1"/>
</file>

<file path=xl/activeX/activeX76.xml><?xml version="1.0" encoding="utf-8"?>
<ax:ocx xmlns:ax="http://schemas.microsoft.com/office/2006/activeX" xmlns:r="http://schemas.openxmlformats.org/officeDocument/2006/relationships" ax:classid="{8BD21D40-EC42-11CE-9E0D-00AA006002F3}" ax:persistence="persistStreamInit" r:id="rId1"/>
</file>

<file path=xl/activeX/activeX77.xml><?xml version="1.0" encoding="utf-8"?>
<ax:ocx xmlns:ax="http://schemas.microsoft.com/office/2006/activeX" xmlns:r="http://schemas.openxmlformats.org/officeDocument/2006/relationships" ax:classid="{8BD21D40-EC42-11CE-9E0D-00AA006002F3}" ax:persistence="persistStreamInit" r:id="rId1"/>
</file>

<file path=xl/activeX/activeX78.xml><?xml version="1.0" encoding="utf-8"?>
<ax:ocx xmlns:ax="http://schemas.microsoft.com/office/2006/activeX" xmlns:r="http://schemas.openxmlformats.org/officeDocument/2006/relationships" ax:classid="{8BD21D40-EC42-11CE-9E0D-00AA006002F3}" ax:persistence="persistStreamInit" r:id="rId1"/>
</file>

<file path=xl/activeX/activeX79.xml><?xml version="1.0" encoding="utf-8"?>
<ax:ocx xmlns:ax="http://schemas.microsoft.com/office/2006/activeX" xmlns:r="http://schemas.openxmlformats.org/officeDocument/2006/relationships" ax:classid="{8BD21D40-EC42-11CE-9E0D-00AA006002F3}" ax:persistence="persistStreamInit" r:id="rId1"/>
</file>

<file path=xl/activeX/activeX80.xml><?xml version="1.0" encoding="utf-8"?>
<ax:ocx xmlns:ax="http://schemas.microsoft.com/office/2006/activeX" xmlns:r="http://schemas.openxmlformats.org/officeDocument/2006/relationships" ax:classid="{8BD21D40-EC42-11CE-9E0D-00AA006002F3}" ax:persistence="persistStreamInit" r:id="rId1"/>
</file>

<file path=xl/activeX/activeX81.xml><?xml version="1.0" encoding="utf-8"?>
<ax:ocx xmlns:ax="http://schemas.microsoft.com/office/2006/activeX" xmlns:r="http://schemas.openxmlformats.org/officeDocument/2006/relationships" ax:classid="{8BD21D40-EC42-11CE-9E0D-00AA006002F3}" ax:persistence="persistStreamInit" r:id="rId1"/>
</file>

<file path=xl/activeX/activeX82.xml><?xml version="1.0" encoding="utf-8"?>
<ax:ocx xmlns:ax="http://schemas.microsoft.com/office/2006/activeX" xmlns:r="http://schemas.openxmlformats.org/officeDocument/2006/relationships" ax:classid="{8BD21D40-EC42-11CE-9E0D-00AA006002F3}" ax:persistence="persistStreamInit" r:id="rId1"/>
</file>

<file path=xl/activeX/activeX83.xml><?xml version="1.0" encoding="utf-8"?>
<ax:ocx xmlns:ax="http://schemas.microsoft.com/office/2006/activeX" xmlns:r="http://schemas.openxmlformats.org/officeDocument/2006/relationships" ax:classid="{8BD21D40-EC42-11CE-9E0D-00AA006002F3}" ax:persistence="persistStreamInit" r:id="rId1"/>
</file>

<file path=xl/activeX/activeX84.xml><?xml version="1.0" encoding="utf-8"?>
<ax:ocx xmlns:ax="http://schemas.microsoft.com/office/2006/activeX" xmlns:r="http://schemas.openxmlformats.org/officeDocument/2006/relationships" ax:classid="{8BD21D40-EC42-11CE-9E0D-00AA006002F3}" ax:persistence="persistStreamInit" r:id="rId1"/>
</file>

<file path=xl/activeX/activeX85.xml><?xml version="1.0" encoding="utf-8"?>
<ax:ocx xmlns:ax="http://schemas.microsoft.com/office/2006/activeX" xmlns:r="http://schemas.openxmlformats.org/officeDocument/2006/relationships" ax:classid="{8BD21D40-EC42-11CE-9E0D-00AA006002F3}" ax:persistence="persistStreamInit" r:id="rId1"/>
</file>

<file path=xl/activeX/activeX86.xml><?xml version="1.0" encoding="utf-8"?>
<ax:ocx xmlns:ax="http://schemas.microsoft.com/office/2006/activeX" xmlns:r="http://schemas.openxmlformats.org/officeDocument/2006/relationships" ax:classid="{8BD21D40-EC42-11CE-9E0D-00AA006002F3}" ax:persistence="persistStreamInit" r:id="rId1"/>
</file>

<file path=xl/activeX/activeX87.xml><?xml version="1.0" encoding="utf-8"?>
<ax:ocx xmlns:ax="http://schemas.microsoft.com/office/2006/activeX" xmlns:r="http://schemas.openxmlformats.org/officeDocument/2006/relationships" ax:classid="{8BD21D40-EC42-11CE-9E0D-00AA006002F3}" ax:persistence="persistStreamInit" r:id="rId1"/>
</file>

<file path=xl/activeX/activeX88.xml><?xml version="1.0" encoding="utf-8"?>
<ax:ocx xmlns:ax="http://schemas.microsoft.com/office/2006/activeX" xmlns:r="http://schemas.openxmlformats.org/officeDocument/2006/relationships" ax:classid="{8BD21D40-EC42-11CE-9E0D-00AA006002F3}" ax:persistence="persistStreamInit" r:id="rId1"/>
</file>

<file path=xl/activeX/activeX89.xml><?xml version="1.0" encoding="utf-8"?>
<ax:ocx xmlns:ax="http://schemas.microsoft.com/office/2006/activeX" xmlns:r="http://schemas.openxmlformats.org/officeDocument/2006/relationships" ax:classid="{8BD21D40-EC42-11CE-9E0D-00AA006002F3}" ax:persistence="persistStreamInit" r:id="rId1"/>
</file>

<file path=xl/activeX/activeX90.xml><?xml version="1.0" encoding="utf-8"?>
<ax:ocx xmlns:ax="http://schemas.microsoft.com/office/2006/activeX" xmlns:r="http://schemas.openxmlformats.org/officeDocument/2006/relationships" ax:classid="{8BD21D40-EC42-11CE-9E0D-00AA006002F3}" ax:persistence="persistStreamInit" r:id="rId1"/>
</file>

<file path=xl/activeX/activeX91.xml><?xml version="1.0" encoding="utf-8"?>
<ax:ocx xmlns:ax="http://schemas.microsoft.com/office/2006/activeX" xmlns:r="http://schemas.openxmlformats.org/officeDocument/2006/relationships" ax:classid="{8BD21D40-EC42-11CE-9E0D-00AA006002F3}" ax:persistence="persistStreamInit" r:id="rId1"/>
</file>

<file path=xl/activeX/activeX92.xml><?xml version="1.0" encoding="utf-8"?>
<ax:ocx xmlns:ax="http://schemas.microsoft.com/office/2006/activeX" xmlns:r="http://schemas.openxmlformats.org/officeDocument/2006/relationships" ax:classid="{8BD21D40-EC42-11CE-9E0D-00AA006002F3}" ax:persistence="persistStreamInit" r:id="rId1"/>
</file>

<file path=xl/activeX/activeX93.xml><?xml version="1.0" encoding="utf-8"?>
<ax:ocx xmlns:ax="http://schemas.microsoft.com/office/2006/activeX" xmlns:r="http://schemas.openxmlformats.org/officeDocument/2006/relationships" ax:classid="{8BD21D40-EC42-11CE-9E0D-00AA006002F3}" ax:persistence="persistStreamInit" r:id="rId1"/>
</file>

<file path=xl/activeX/activeX94.xml><?xml version="1.0" encoding="utf-8"?>
<ax:ocx xmlns:ax="http://schemas.microsoft.com/office/2006/activeX" xmlns:r="http://schemas.openxmlformats.org/officeDocument/2006/relationships" ax:classid="{8BD21D40-EC42-11CE-9E0D-00AA006002F3}" ax:persistence="persistStreamInit" r:id="rId1"/>
</file>

<file path=xl/activeX/activeX95.xml><?xml version="1.0" encoding="utf-8"?>
<ax:ocx xmlns:ax="http://schemas.microsoft.com/office/2006/activeX" xmlns:r="http://schemas.openxmlformats.org/officeDocument/2006/relationships" ax:classid="{8BD21D40-EC42-11CE-9E0D-00AA006002F3}" ax:persistence="persistStreamInit" r:id="rId1"/>
</file>

<file path=xl/activeX/activeX96.xml><?xml version="1.0" encoding="utf-8"?>
<ax:ocx xmlns:ax="http://schemas.microsoft.com/office/2006/activeX" xmlns:r="http://schemas.openxmlformats.org/officeDocument/2006/relationships" ax:classid="{8BD21D40-EC42-11CE-9E0D-00AA006002F3}" ax:persistence="persistStreamInit" r:id="rId1"/>
</file>

<file path=xl/activeX/activeX97.xml><?xml version="1.0" encoding="utf-8"?>
<ax:ocx xmlns:ax="http://schemas.microsoft.com/office/2006/activeX" xmlns:r="http://schemas.openxmlformats.org/officeDocument/2006/relationships" ax:classid="{8BD21D40-EC42-11CE-9E0D-00AA006002F3}" ax:persistence="persistStreamInit" r:id="rId1"/>
</file>

<file path=xl/activeX/activeX98.xml><?xml version="1.0" encoding="utf-8"?>
<ax:ocx xmlns:ax="http://schemas.microsoft.com/office/2006/activeX" xmlns:r="http://schemas.openxmlformats.org/officeDocument/2006/relationships" ax:classid="{8BD21D40-EC42-11CE-9E0D-00AA006002F3}" ax:persistence="persistStreamInit" r:id="rId1"/>
</file>

<file path=xl/activeX/activeX99.xml><?xml version="1.0" encoding="utf-8"?>
<ax:ocx xmlns:ax="http://schemas.microsoft.com/office/2006/activeX" xmlns:r="http://schemas.openxmlformats.org/officeDocument/2006/relationships" ax:classid="{8BD21D40-EC42-11CE-9E0D-00AA006002F3}" ax:persistence="persistStreamInit" r:id="rId1"/>
</file>

<file path=xl/activeX/activeX100.xml><?xml version="1.0" encoding="utf-8"?>
<ax:ocx xmlns:ax="http://schemas.microsoft.com/office/2006/activeX" xmlns:r="http://schemas.openxmlformats.org/officeDocument/2006/relationships" ax:classid="{8BD21D40-EC42-11CE-9E0D-00AA006002F3}" ax:persistence="persistStreamInit" r:id="rId1"/>
</file>

<file path=xl/activeX/activeX101.xml><?xml version="1.0" encoding="utf-8"?>
<ax:ocx xmlns:ax="http://schemas.microsoft.com/office/2006/activeX" xmlns:r="http://schemas.openxmlformats.org/officeDocument/2006/relationships" ax:classid="{8BD21D40-EC42-11CE-9E0D-00AA006002F3}" ax:persistence="persistStreamInit" r:id="rId1"/>
</file>

<file path=xl/activeX/activeX102.xml><?xml version="1.0" encoding="utf-8"?>
<ax:ocx xmlns:ax="http://schemas.microsoft.com/office/2006/activeX" xmlns:r="http://schemas.openxmlformats.org/officeDocument/2006/relationships" ax:classid="{8BD21D40-EC42-11CE-9E0D-00AA006002F3}" ax:persistence="persistStreamInit" r:id="rId1"/>
</file>

<file path=xl/activeX/activeX103.xml><?xml version="1.0" encoding="utf-8"?>
<ax:ocx xmlns:ax="http://schemas.microsoft.com/office/2006/activeX" xmlns:r="http://schemas.openxmlformats.org/officeDocument/2006/relationships" ax:classid="{8BD21D40-EC42-11CE-9E0D-00AA006002F3}" ax:persistence="persistStreamInit" r:id="rId1"/>
</file>

<file path=xl/activeX/activeX104.xml><?xml version="1.0" encoding="utf-8"?>
<ax:ocx xmlns:ax="http://schemas.microsoft.com/office/2006/activeX" xmlns:r="http://schemas.openxmlformats.org/officeDocument/2006/relationships" ax:classid="{8BD21D40-EC42-11CE-9E0D-00AA006002F3}" ax:persistence="persistStreamInit" r:id="rId1"/>
</file>

<file path=xl/activeX/activeX105.xml><?xml version="1.0" encoding="utf-8"?>
<ax:ocx xmlns:ax="http://schemas.microsoft.com/office/2006/activeX" xmlns:r="http://schemas.openxmlformats.org/officeDocument/2006/relationships" ax:classid="{8BD21D40-EC42-11CE-9E0D-00AA006002F3}" ax:persistence="persistStreamInit" r:id="rId1"/>
</file>

<file path=xl/activeX/activeX106.xml><?xml version="1.0" encoding="utf-8"?>
<ax:ocx xmlns:ax="http://schemas.microsoft.com/office/2006/activeX" xmlns:r="http://schemas.openxmlformats.org/officeDocument/2006/relationships" ax:classid="{8BD21D40-EC42-11CE-9E0D-00AA006002F3}" ax:persistence="persistStreamInit" r:id="rId1"/>
</file>

<file path=xl/activeX/activeX107.xml><?xml version="1.0" encoding="utf-8"?>
<ax:ocx xmlns:ax="http://schemas.microsoft.com/office/2006/activeX" xmlns:r="http://schemas.openxmlformats.org/officeDocument/2006/relationships" ax:classid="{8BD21D40-EC42-11CE-9E0D-00AA006002F3}" ax:persistence="persistStreamInit" r:id="rId1"/>
</file>

<file path=xl/activeX/activeX108.xml><?xml version="1.0" encoding="utf-8"?>
<ax:ocx xmlns:ax="http://schemas.microsoft.com/office/2006/activeX" xmlns:r="http://schemas.openxmlformats.org/officeDocument/2006/relationships" ax:classid="{8BD21D40-EC42-11CE-9E0D-00AA006002F3}" ax:persistence="persistStreamInit" r:id="rId1"/>
</file>

<file path=xl/activeX/activeX109.xml><?xml version="1.0" encoding="utf-8"?>
<ax:ocx xmlns:ax="http://schemas.microsoft.com/office/2006/activeX" xmlns:r="http://schemas.openxmlformats.org/officeDocument/2006/relationships" ax:classid="{8BD21D40-EC42-11CE-9E0D-00AA006002F3}" ax:persistence="persistStreamInit" r:id="rId1"/>
</file>

<file path=xl/activeX/activeX110.xml><?xml version="1.0" encoding="utf-8"?>
<ax:ocx xmlns:ax="http://schemas.microsoft.com/office/2006/activeX" xmlns:r="http://schemas.openxmlformats.org/officeDocument/2006/relationships" ax:classid="{8BD21D40-EC42-11CE-9E0D-00AA006002F3}" ax:persistence="persistStreamInit" r:id="rId1"/>
</file>

<file path=xl/activeX/activeX111.xml><?xml version="1.0" encoding="utf-8"?>
<ax:ocx xmlns:ax="http://schemas.microsoft.com/office/2006/activeX" xmlns:r="http://schemas.openxmlformats.org/officeDocument/2006/relationships" ax:classid="{8BD21D40-EC42-11CE-9E0D-00AA006002F3}" ax:persistence="persistStreamInit" r:id="rId1"/>
</file>

<file path=xl/activeX/activeX112.xml><?xml version="1.0" encoding="utf-8"?>
<ax:ocx xmlns:ax="http://schemas.microsoft.com/office/2006/activeX" xmlns:r="http://schemas.openxmlformats.org/officeDocument/2006/relationships" ax:classid="{8BD21D40-EC42-11CE-9E0D-00AA006002F3}" ax:persistence="persistStreamInit" r:id="rId1"/>
</file>

<file path=xl/activeX/activeX113.xml><?xml version="1.0" encoding="utf-8"?>
<ax:ocx xmlns:ax="http://schemas.microsoft.com/office/2006/activeX" xmlns:r="http://schemas.openxmlformats.org/officeDocument/2006/relationships" ax:classid="{8BD21D40-EC42-11CE-9E0D-00AA006002F3}" ax:persistence="persistStreamInit" r:id="rId1"/>
</file>

<file path=xl/activeX/activeX114.xml><?xml version="1.0" encoding="utf-8"?>
<ax:ocx xmlns:ax="http://schemas.microsoft.com/office/2006/activeX" xmlns:r="http://schemas.openxmlformats.org/officeDocument/2006/relationships" ax:classid="{8BD21D40-EC42-11CE-9E0D-00AA006002F3}" ax:persistence="persistStreamInit" r:id="rId1"/>
</file>

<file path=xl/activeX/activeX115.xml><?xml version="1.0" encoding="utf-8"?>
<ax:ocx xmlns:ax="http://schemas.microsoft.com/office/2006/activeX" xmlns:r="http://schemas.openxmlformats.org/officeDocument/2006/relationships" ax:classid="{8BD21D40-EC42-11CE-9E0D-00AA006002F3}" ax:persistence="persistStreamInit" r:id="rId1"/>
</file>

<file path=xl/activeX/activeX116.xml><?xml version="1.0" encoding="utf-8"?>
<ax:ocx xmlns:ax="http://schemas.microsoft.com/office/2006/activeX" xmlns:r="http://schemas.openxmlformats.org/officeDocument/2006/relationships" ax:classid="{8BD21D40-EC42-11CE-9E0D-00AA006002F3}" ax:persistence="persistStreamInit" r:id="rId1"/>
</file>

<file path=xl/activeX/activeX117.xml><?xml version="1.0" encoding="utf-8"?>
<ax:ocx xmlns:ax="http://schemas.microsoft.com/office/2006/activeX" xmlns:r="http://schemas.openxmlformats.org/officeDocument/2006/relationships" ax:classid="{8BD21D40-EC42-11CE-9E0D-00AA006002F3}" ax:persistence="persistStreamInit" r:id="rId1"/>
</file>

<file path=xl/activeX/activeX118.xml><?xml version="1.0" encoding="utf-8"?>
<ax:ocx xmlns:ax="http://schemas.microsoft.com/office/2006/activeX" xmlns:r="http://schemas.openxmlformats.org/officeDocument/2006/relationships" ax:classid="{8BD21D40-EC42-11CE-9E0D-00AA006002F3}" ax:persistence="persistStreamInit" r:id="rId1"/>
</file>

<file path=xl/activeX/activeX119.xml><?xml version="1.0" encoding="utf-8"?>
<ax:ocx xmlns:ax="http://schemas.microsoft.com/office/2006/activeX" xmlns:r="http://schemas.openxmlformats.org/officeDocument/2006/relationships" ax:classid="{8BD21D40-EC42-11CE-9E0D-00AA006002F3}" ax:persistence="persistStreamInit" r:id="rId1"/>
</file>

<file path=xl/activeX/activeX120.xml><?xml version="1.0" encoding="utf-8"?>
<ax:ocx xmlns:ax="http://schemas.microsoft.com/office/2006/activeX" xmlns:r="http://schemas.openxmlformats.org/officeDocument/2006/relationships" ax:classid="{8BD21D40-EC42-11CE-9E0D-00AA006002F3}" ax:persistence="persistStreamInit" r:id="rId1"/>
</file>

<file path=xl/activeX/activeX121.xml><?xml version="1.0" encoding="utf-8"?>
<ax:ocx xmlns:ax="http://schemas.microsoft.com/office/2006/activeX" xmlns:r="http://schemas.openxmlformats.org/officeDocument/2006/relationships" ax:classid="{8BD21D40-EC42-11CE-9E0D-00AA006002F3}" ax:persistence="persistStreamInit" r:id="rId1"/>
</file>

<file path=xl/activeX/activeX122.xml><?xml version="1.0" encoding="utf-8"?>
<ax:ocx xmlns:ax="http://schemas.microsoft.com/office/2006/activeX" xmlns:r="http://schemas.openxmlformats.org/officeDocument/2006/relationships" ax:classid="{8BD21D40-EC42-11CE-9E0D-00AA006002F3}" ax:persistence="persistStreamInit" r:id="rId1"/>
</file>

<file path=xl/activeX/activeX123.xml><?xml version="1.0" encoding="utf-8"?>
<ax:ocx xmlns:ax="http://schemas.microsoft.com/office/2006/activeX" xmlns:r="http://schemas.openxmlformats.org/officeDocument/2006/relationships" ax:classid="{8BD21D40-EC42-11CE-9E0D-00AA006002F3}" ax:persistence="persistStreamInit" r:id="rId1"/>
</file>

<file path=xl/activeX/activeX124.xml><?xml version="1.0" encoding="utf-8"?>
<ax:ocx xmlns:ax="http://schemas.microsoft.com/office/2006/activeX" xmlns:r="http://schemas.openxmlformats.org/officeDocument/2006/relationships" ax:classid="{8BD21D40-EC42-11CE-9E0D-00AA006002F3}" ax:persistence="persistStreamInit" r:id="rId1"/>
</file>

<file path=xl/activeX/activeX125.xml><?xml version="1.0" encoding="utf-8"?>
<ax:ocx xmlns:ax="http://schemas.microsoft.com/office/2006/activeX" xmlns:r="http://schemas.openxmlformats.org/officeDocument/2006/relationships" ax:classid="{8BD21D40-EC42-11CE-9E0D-00AA006002F3}" ax:persistence="persistStreamInit" r:id="rId1"/>
</file>

<file path=xl/activeX/activeX126.xml><?xml version="1.0" encoding="utf-8"?>
<ax:ocx xmlns:ax="http://schemas.microsoft.com/office/2006/activeX" xmlns:r="http://schemas.openxmlformats.org/officeDocument/2006/relationships" ax:classid="{8BD21D40-EC42-11CE-9E0D-00AA006002F3}" ax:persistence="persistStreamInit" r:id="rId1"/>
</file>

<file path=xl/activeX/activeX127.xml><?xml version="1.0" encoding="utf-8"?>
<ax:ocx xmlns:ax="http://schemas.microsoft.com/office/2006/activeX" xmlns:r="http://schemas.openxmlformats.org/officeDocument/2006/relationships" ax:classid="{8BD21D40-EC42-11CE-9E0D-00AA006002F3}" ax:persistence="persistStreamInit" r:id="rId1"/>
</file>

<file path=xl/activeX/activeX128.xml><?xml version="1.0" encoding="utf-8"?>
<ax:ocx xmlns:ax="http://schemas.microsoft.com/office/2006/activeX" xmlns:r="http://schemas.openxmlformats.org/officeDocument/2006/relationships" ax:classid="{8BD21D40-EC42-11CE-9E0D-00AA006002F3}" ax:persistence="persistStreamInit" r:id="rId1"/>
</file>

<file path=xl/activeX/activeX129.xml><?xml version="1.0" encoding="utf-8"?>
<ax:ocx xmlns:ax="http://schemas.microsoft.com/office/2006/activeX" xmlns:r="http://schemas.openxmlformats.org/officeDocument/2006/relationships" ax:classid="{8BD21D40-EC42-11CE-9E0D-00AA006002F3}" ax:persistence="persistStreamInit" r:id="rId1"/>
</file>

<file path=xl/activeX/activeX130.xml><?xml version="1.0" encoding="utf-8"?>
<ax:ocx xmlns:ax="http://schemas.microsoft.com/office/2006/activeX" xmlns:r="http://schemas.openxmlformats.org/officeDocument/2006/relationships" ax:classid="{8BD21D40-EC42-11CE-9E0D-00AA006002F3}" ax:persistence="persistStreamInit" r:id="rId1"/>
</file>

<file path=xl/activeX/activeX131.xml><?xml version="1.0" encoding="utf-8"?>
<ax:ocx xmlns:ax="http://schemas.microsoft.com/office/2006/activeX" xmlns:r="http://schemas.openxmlformats.org/officeDocument/2006/relationships" ax:classid="{8BD21D40-EC42-11CE-9E0D-00AA006002F3}" ax:persistence="persistStreamInit" r:id="rId1"/>
</file>

<file path=xl/activeX/activeX132.xml><?xml version="1.0" encoding="utf-8"?>
<ax:ocx xmlns:ax="http://schemas.microsoft.com/office/2006/activeX" xmlns:r="http://schemas.openxmlformats.org/officeDocument/2006/relationships" ax:classid="{8BD21D40-EC42-11CE-9E0D-00AA006002F3}" ax:persistence="persistStreamInit" r:id="rId1"/>
</file>

<file path=xl/activeX/activeX133.xml><?xml version="1.0" encoding="utf-8"?>
<ax:ocx xmlns:ax="http://schemas.microsoft.com/office/2006/activeX" xmlns:r="http://schemas.openxmlformats.org/officeDocument/2006/relationships" ax:classid="{8BD21D40-EC42-11CE-9E0D-00AA006002F3}" ax:persistence="persistStreamInit" r:id="rId1"/>
</file>

<file path=xl/activeX/activeX134.xml><?xml version="1.0" encoding="utf-8"?>
<ax:ocx xmlns:ax="http://schemas.microsoft.com/office/2006/activeX" xmlns:r="http://schemas.openxmlformats.org/officeDocument/2006/relationships" ax:classid="{8BD21D40-EC42-11CE-9E0D-00AA006002F3}" ax:persistence="persistStreamInit" r:id="rId1"/>
</file>

<file path=xl/activeX/activeX135.xml><?xml version="1.0" encoding="utf-8"?>
<ax:ocx xmlns:ax="http://schemas.microsoft.com/office/2006/activeX" xmlns:r="http://schemas.openxmlformats.org/officeDocument/2006/relationships" ax:classid="{8BD21D40-EC42-11CE-9E0D-00AA006002F3}" ax:persistence="persistStreamInit" r:id="rId1"/>
</file>

<file path=xl/activeX/activeX136.xml><?xml version="1.0" encoding="utf-8"?>
<ax:ocx xmlns:ax="http://schemas.microsoft.com/office/2006/activeX" xmlns:r="http://schemas.openxmlformats.org/officeDocument/2006/relationships" ax:classid="{8BD21D40-EC42-11CE-9E0D-00AA006002F3}" ax:persistence="persistStreamInit" r:id="rId1"/>
</file>

<file path=xl/activeX/activeX137.xml><?xml version="1.0" encoding="utf-8"?>
<ax:ocx xmlns:ax="http://schemas.microsoft.com/office/2006/activeX" xmlns:r="http://schemas.openxmlformats.org/officeDocument/2006/relationships" ax:classid="{8BD21D40-EC42-11CE-9E0D-00AA006002F3}" ax:persistence="persistStreamInit" r:id="rId1"/>
</file>

<file path=xl/activeX/activeX138.xml><?xml version="1.0" encoding="utf-8"?>
<ax:ocx xmlns:ax="http://schemas.microsoft.com/office/2006/activeX" xmlns:r="http://schemas.openxmlformats.org/officeDocument/2006/relationships" ax:classid="{8BD21D40-EC42-11CE-9E0D-00AA006002F3}" ax:persistence="persistStreamInit" r:id="rId1"/>
</file>

<file path=xl/activeX/activeX139.xml><?xml version="1.0" encoding="utf-8"?>
<ax:ocx xmlns:ax="http://schemas.microsoft.com/office/2006/activeX" xmlns:r="http://schemas.openxmlformats.org/officeDocument/2006/relationships" ax:classid="{8BD21D40-EC42-11CE-9E0D-00AA006002F3}" ax:persistence="persistStreamInit" r:id="rId1"/>
</file>

<file path=xl/activeX/activeX140.xml><?xml version="1.0" encoding="utf-8"?>
<ax:ocx xmlns:ax="http://schemas.microsoft.com/office/2006/activeX" xmlns:r="http://schemas.openxmlformats.org/officeDocument/2006/relationships" ax:classid="{8BD21D40-EC42-11CE-9E0D-00AA006002F3}" ax:persistence="persistStreamInit" r:id="rId1"/>
</file>

<file path=xl/activeX/activeX141.xml><?xml version="1.0" encoding="utf-8"?>
<ax:ocx xmlns:ax="http://schemas.microsoft.com/office/2006/activeX" xmlns:r="http://schemas.openxmlformats.org/officeDocument/2006/relationships" ax:classid="{8BD21D40-EC42-11CE-9E0D-00AA006002F3}" ax:persistence="persistStreamInit" r:id="rId1"/>
</file>

<file path=xl/activeX/activeX142.xml><?xml version="1.0" encoding="utf-8"?>
<ax:ocx xmlns:ax="http://schemas.microsoft.com/office/2006/activeX" xmlns:r="http://schemas.openxmlformats.org/officeDocument/2006/relationships" ax:classid="{8BD21D40-EC42-11CE-9E0D-00AA006002F3}" ax:persistence="persistStreamInit" r:id="rId1"/>
</file>

<file path=xl/activeX/activeX143.xml><?xml version="1.0" encoding="utf-8"?>
<ax:ocx xmlns:ax="http://schemas.microsoft.com/office/2006/activeX" xmlns:r="http://schemas.openxmlformats.org/officeDocument/2006/relationships" ax:classid="{8BD21D40-EC42-11CE-9E0D-00AA006002F3}" ax:persistence="persistStreamInit" r:id="rId1"/>
</file>

<file path=xl/activeX/activeX144.xml><?xml version="1.0" encoding="utf-8"?>
<ax:ocx xmlns:ax="http://schemas.microsoft.com/office/2006/activeX" xmlns:r="http://schemas.openxmlformats.org/officeDocument/2006/relationships" ax:classid="{8BD21D40-EC42-11CE-9E0D-00AA006002F3}" ax:persistence="persistStreamInit" r:id="rId1"/>
</file>

<file path=xl/activeX/activeX145.xml><?xml version="1.0" encoding="utf-8"?>
<ax:ocx xmlns:ax="http://schemas.microsoft.com/office/2006/activeX" xmlns:r="http://schemas.openxmlformats.org/officeDocument/2006/relationships" ax:classid="{8BD21D40-EC42-11CE-9E0D-00AA006002F3}" ax:persistence="persistStreamInit" r:id="rId1"/>
</file>

<file path=xl/activeX/activeX146.xml><?xml version="1.0" encoding="utf-8"?>
<ax:ocx xmlns:ax="http://schemas.microsoft.com/office/2006/activeX" xmlns:r="http://schemas.openxmlformats.org/officeDocument/2006/relationships" ax:classid="{8BD21D40-EC42-11CE-9E0D-00AA006002F3}" ax:persistence="persistStreamInit" r:id="rId1"/>
</file>

<file path=xl/activeX/activeX147.xml><?xml version="1.0" encoding="utf-8"?>
<ax:ocx xmlns:ax="http://schemas.microsoft.com/office/2006/activeX" xmlns:r="http://schemas.openxmlformats.org/officeDocument/2006/relationships" ax:classid="{8BD21D40-EC42-11CE-9E0D-00AA006002F3}" ax:persistence="persistStreamInit" r:id="rId1"/>
</file>

<file path=xl/activeX/activeX148.xml><?xml version="1.0" encoding="utf-8"?>
<ax:ocx xmlns:ax="http://schemas.microsoft.com/office/2006/activeX" xmlns:r="http://schemas.openxmlformats.org/officeDocument/2006/relationships" ax:classid="{8BD21D40-EC42-11CE-9E0D-00AA006002F3}" ax:persistence="persistStreamInit" r:id="rId1"/>
</file>

<file path=xl/activeX/activeX149.xml><?xml version="1.0" encoding="utf-8"?>
<ax:ocx xmlns:ax="http://schemas.microsoft.com/office/2006/activeX" xmlns:r="http://schemas.openxmlformats.org/officeDocument/2006/relationships" ax:classid="{8BD21D40-EC42-11CE-9E0D-00AA006002F3}" ax:persistence="persistStreamInit" r:id="rId1"/>
</file>

<file path=xl/activeX/activeX150.xml><?xml version="1.0" encoding="utf-8"?>
<ax:ocx xmlns:ax="http://schemas.microsoft.com/office/2006/activeX" xmlns:r="http://schemas.openxmlformats.org/officeDocument/2006/relationships" ax:classid="{8BD21D40-EC42-11CE-9E0D-00AA006002F3}" ax:persistence="persistStreamInit" r:id="rId1"/>
</file>

<file path=xl/activeX/activeX151.xml><?xml version="1.0" encoding="utf-8"?>
<ax:ocx xmlns:ax="http://schemas.microsoft.com/office/2006/activeX" xmlns:r="http://schemas.openxmlformats.org/officeDocument/2006/relationships" ax:classid="{8BD21D40-EC42-11CE-9E0D-00AA006002F3}" ax:persistence="persistStreamInit" r:id="rId1"/>
</file>

<file path=xl/activeX/activeX152.xml><?xml version="1.0" encoding="utf-8"?>
<ax:ocx xmlns:ax="http://schemas.microsoft.com/office/2006/activeX" xmlns:r="http://schemas.openxmlformats.org/officeDocument/2006/relationships" ax:classid="{8BD21D40-EC42-11CE-9E0D-00AA006002F3}" ax:persistence="persistStreamInit" r:id="rId1"/>
</file>

<file path=xl/activeX/activeX153.xml><?xml version="1.0" encoding="utf-8"?>
<ax:ocx xmlns:ax="http://schemas.microsoft.com/office/2006/activeX" xmlns:r="http://schemas.openxmlformats.org/officeDocument/2006/relationships" ax:classid="{8BD21D40-EC42-11CE-9E0D-00AA006002F3}" ax:persistence="persistStreamInit" r:id="rId1"/>
</file>

<file path=xl/activeX/activeX154.xml><?xml version="1.0" encoding="utf-8"?>
<ax:ocx xmlns:ax="http://schemas.microsoft.com/office/2006/activeX" xmlns:r="http://schemas.openxmlformats.org/officeDocument/2006/relationships" ax:classid="{8BD21D40-EC42-11CE-9E0D-00AA006002F3}" ax:persistence="persistStreamInit" r:id="rId1"/>
</file>

<file path=xl/activeX/activeX155.xml><?xml version="1.0" encoding="utf-8"?>
<ax:ocx xmlns:ax="http://schemas.microsoft.com/office/2006/activeX" xmlns:r="http://schemas.openxmlformats.org/officeDocument/2006/relationships" ax:classid="{8BD21D40-EC42-11CE-9E0D-00AA006002F3}" ax:persistence="persistStreamInit" r:id="rId1"/>
</file>

<file path=xl/activeX/activeX156.xml><?xml version="1.0" encoding="utf-8"?>
<ax:ocx xmlns:ax="http://schemas.microsoft.com/office/2006/activeX" xmlns:r="http://schemas.openxmlformats.org/officeDocument/2006/relationships" ax:classid="{8BD21D40-EC42-11CE-9E0D-00AA006002F3}" ax:persistence="persistStreamInit" r:id="rId1"/>
</file>

<file path=xl/activeX/activeX157.xml><?xml version="1.0" encoding="utf-8"?>
<ax:ocx xmlns:ax="http://schemas.microsoft.com/office/2006/activeX" xmlns:r="http://schemas.openxmlformats.org/officeDocument/2006/relationships" ax:classid="{8BD21D40-EC42-11CE-9E0D-00AA006002F3}" ax:persistence="persistStreamInit" r:id="rId1"/>
</file>

<file path=xl/activeX/activeX158.xml><?xml version="1.0" encoding="utf-8"?>
<ax:ocx xmlns:ax="http://schemas.microsoft.com/office/2006/activeX" xmlns:r="http://schemas.openxmlformats.org/officeDocument/2006/relationships" ax:classid="{8BD21D40-EC42-11CE-9E0D-00AA006002F3}" ax:persistence="persistStreamInit" r:id="rId1"/>
</file>

<file path=xl/activeX/activeX159.xml><?xml version="1.0" encoding="utf-8"?>
<ax:ocx xmlns:ax="http://schemas.microsoft.com/office/2006/activeX" xmlns:r="http://schemas.openxmlformats.org/officeDocument/2006/relationships" ax:classid="{8BD21D40-EC42-11CE-9E0D-00AA006002F3}" ax:persistence="persistStreamInit" r:id="rId1"/>
</file>

<file path=xl/activeX/activeX160.xml><?xml version="1.0" encoding="utf-8"?>
<ax:ocx xmlns:ax="http://schemas.microsoft.com/office/2006/activeX" xmlns:r="http://schemas.openxmlformats.org/officeDocument/2006/relationships" ax:classid="{8BD21D40-EC42-11CE-9E0D-00AA006002F3}" ax:persistence="persistStreamInit" r:id="rId1"/>
</file>

<file path=xl/activeX/activeX161.xml><?xml version="1.0" encoding="utf-8"?>
<ax:ocx xmlns:ax="http://schemas.microsoft.com/office/2006/activeX" xmlns:r="http://schemas.openxmlformats.org/officeDocument/2006/relationships" ax:classid="{8BD21D40-EC42-11CE-9E0D-00AA006002F3}" ax:persistence="persistStreamInit" r:id="rId1"/>
</file>

<file path=xl/activeX/activeX162.xml><?xml version="1.0" encoding="utf-8"?>
<ax:ocx xmlns:ax="http://schemas.microsoft.com/office/2006/activeX" xmlns:r="http://schemas.openxmlformats.org/officeDocument/2006/relationships" ax:classid="{8BD21D40-EC42-11CE-9E0D-00AA006002F3}" ax:persistence="persistStreamInit" r:id="rId1"/>
</file>

<file path=xl/activeX/activeX163.xml><?xml version="1.0" encoding="utf-8"?>
<ax:ocx xmlns:ax="http://schemas.microsoft.com/office/2006/activeX" xmlns:r="http://schemas.openxmlformats.org/officeDocument/2006/relationships" ax:classid="{8BD21D40-EC42-11CE-9E0D-00AA006002F3}" ax:persistence="persistStreamInit" r:id="rId1"/>
</file>

<file path=xl/activeX/activeX164.xml><?xml version="1.0" encoding="utf-8"?>
<ax:ocx xmlns:ax="http://schemas.microsoft.com/office/2006/activeX" xmlns:r="http://schemas.openxmlformats.org/officeDocument/2006/relationships" ax:classid="{8BD21D40-EC42-11CE-9E0D-00AA006002F3}" ax:persistence="persistStreamInit" r:id="rId1"/>
</file>

<file path=xl/activeX/activeX165.xml><?xml version="1.0" encoding="utf-8"?>
<ax:ocx xmlns:ax="http://schemas.microsoft.com/office/2006/activeX" xmlns:r="http://schemas.openxmlformats.org/officeDocument/2006/relationships" ax:classid="{8BD21D40-EC42-11CE-9E0D-00AA006002F3}" ax:persistence="persistStreamInit" r:id="rId1"/>
</file>

<file path=xl/activeX/activeX166.xml><?xml version="1.0" encoding="utf-8"?>
<ax:ocx xmlns:ax="http://schemas.microsoft.com/office/2006/activeX" xmlns:r="http://schemas.openxmlformats.org/officeDocument/2006/relationships" ax:classid="{8BD21D40-EC42-11CE-9E0D-00AA006002F3}" ax:persistence="persistStreamInit" r:id="rId1"/>
</file>

<file path=xl/activeX/activeX167.xml><?xml version="1.0" encoding="utf-8"?>
<ax:ocx xmlns:ax="http://schemas.microsoft.com/office/2006/activeX" xmlns:r="http://schemas.openxmlformats.org/officeDocument/2006/relationships" ax:classid="{8BD21D40-EC42-11CE-9E0D-00AA006002F3}" ax:persistence="persistStreamInit" r:id="rId1"/>
</file>

<file path=xl/activeX/activeX168.xml><?xml version="1.0" encoding="utf-8"?>
<ax:ocx xmlns:ax="http://schemas.microsoft.com/office/2006/activeX" xmlns:r="http://schemas.openxmlformats.org/officeDocument/2006/relationships" ax:classid="{8BD21D40-EC42-11CE-9E0D-00AA006002F3}" ax:persistence="persistStreamInit" r:id="rId1"/>
</file>

<file path=xl/activeX/activeX169.xml><?xml version="1.0" encoding="utf-8"?>
<ax:ocx xmlns:ax="http://schemas.microsoft.com/office/2006/activeX" xmlns:r="http://schemas.openxmlformats.org/officeDocument/2006/relationships" ax:classid="{8BD21D40-EC42-11CE-9E0D-00AA006002F3}" ax:persistence="persistStreamInit" r:id="rId1"/>
</file>

<file path=xl/activeX/activeX170.xml><?xml version="1.0" encoding="utf-8"?>
<ax:ocx xmlns:ax="http://schemas.microsoft.com/office/2006/activeX" xmlns:r="http://schemas.openxmlformats.org/officeDocument/2006/relationships" ax:classid="{8BD21D40-EC42-11CE-9E0D-00AA006002F3}" ax:persistence="persistStreamInit" r:id="rId1"/>
</file>

<file path=xl/activeX/activeX171.xml><?xml version="1.0" encoding="utf-8"?>
<ax:ocx xmlns:ax="http://schemas.microsoft.com/office/2006/activeX" xmlns:r="http://schemas.openxmlformats.org/officeDocument/2006/relationships" ax:classid="{8BD21D40-EC42-11CE-9E0D-00AA006002F3}" ax:persistence="persistStreamInit" r:id="rId1"/>
</file>

<file path=xl/activeX/activeX172.xml><?xml version="1.0" encoding="utf-8"?>
<ax:ocx xmlns:ax="http://schemas.microsoft.com/office/2006/activeX" xmlns:r="http://schemas.openxmlformats.org/officeDocument/2006/relationships" ax:classid="{8BD21D40-EC42-11CE-9E0D-00AA006002F3}" ax:persistence="persistStreamInit" r:id="rId1"/>
</file>

<file path=xl/activeX/activeX173.xml><?xml version="1.0" encoding="utf-8"?>
<ax:ocx xmlns:ax="http://schemas.microsoft.com/office/2006/activeX" xmlns:r="http://schemas.openxmlformats.org/officeDocument/2006/relationships" ax:classid="{8BD21D40-EC42-11CE-9E0D-00AA006002F3}" ax:persistence="persistStreamInit" r:id="rId1"/>
</file>

<file path=xl/activeX/activeX174.xml><?xml version="1.0" encoding="utf-8"?>
<ax:ocx xmlns:ax="http://schemas.microsoft.com/office/2006/activeX" xmlns:r="http://schemas.openxmlformats.org/officeDocument/2006/relationships" ax:classid="{8BD21D40-EC42-11CE-9E0D-00AA006002F3}" ax:persistence="persistStreamInit" r:id="rId1"/>
</file>

<file path=xl/activeX/activeX175.xml><?xml version="1.0" encoding="utf-8"?>
<ax:ocx xmlns:ax="http://schemas.microsoft.com/office/2006/activeX" xmlns:r="http://schemas.openxmlformats.org/officeDocument/2006/relationships" ax:classid="{8BD21D40-EC42-11CE-9E0D-00AA006002F3}" ax:persistence="persistStreamInit" r:id="rId1"/>
</file>

<file path=xl/activeX/activeX176.xml><?xml version="1.0" encoding="utf-8"?>
<ax:ocx xmlns:ax="http://schemas.microsoft.com/office/2006/activeX" xmlns:r="http://schemas.openxmlformats.org/officeDocument/2006/relationships" ax:classid="{8BD21D40-EC42-11CE-9E0D-00AA006002F3}" ax:persistence="persistStreamInit" r:id="rId1"/>
</file>

<file path=xl/activeX/activeX177.xml><?xml version="1.0" encoding="utf-8"?>
<ax:ocx xmlns:ax="http://schemas.microsoft.com/office/2006/activeX" xmlns:r="http://schemas.openxmlformats.org/officeDocument/2006/relationships" ax:classid="{8BD21D40-EC42-11CE-9E0D-00AA006002F3}" ax:persistence="persistStreamInit" r:id="rId1"/>
</file>

<file path=xl/activeX/activeX178.xml><?xml version="1.0" encoding="utf-8"?>
<ax:ocx xmlns:ax="http://schemas.microsoft.com/office/2006/activeX" xmlns:r="http://schemas.openxmlformats.org/officeDocument/2006/relationships" ax:classid="{8BD21D40-EC42-11CE-9E0D-00AA006002F3}" ax:persistence="persistStreamInit" r:id="rId1"/>
</file>

<file path=xl/activeX/activeX179.xml><?xml version="1.0" encoding="utf-8"?>
<ax:ocx xmlns:ax="http://schemas.microsoft.com/office/2006/activeX" xmlns:r="http://schemas.openxmlformats.org/officeDocument/2006/relationships" ax:classid="{8BD21D40-EC42-11CE-9E0D-00AA006002F3}" ax:persistence="persistStreamInit" r:id="rId1"/>
</file>

<file path=xl/activeX/activeX180.xml><?xml version="1.0" encoding="utf-8"?>
<ax:ocx xmlns:ax="http://schemas.microsoft.com/office/2006/activeX" xmlns:r="http://schemas.openxmlformats.org/officeDocument/2006/relationships" ax:classid="{8BD21D40-EC42-11CE-9E0D-00AA006002F3}" ax:persistence="persistStreamInit" r:id="rId1"/>
</file>

<file path=xl/activeX/activeX181.xml><?xml version="1.0" encoding="utf-8"?>
<ax:ocx xmlns:ax="http://schemas.microsoft.com/office/2006/activeX" xmlns:r="http://schemas.openxmlformats.org/officeDocument/2006/relationships" ax:classid="{8BD21D40-EC42-11CE-9E0D-00AA006002F3}" ax:persistence="persistStreamInit" r:id="rId1"/>
</file>

<file path=xl/activeX/activeX182.xml><?xml version="1.0" encoding="utf-8"?>
<ax:ocx xmlns:ax="http://schemas.microsoft.com/office/2006/activeX" xmlns:r="http://schemas.openxmlformats.org/officeDocument/2006/relationships" ax:classid="{8BD21D40-EC42-11CE-9E0D-00AA006002F3}" ax:persistence="persistStreamInit" r:id="rId1"/>
</file>

<file path=xl/activeX/activeX183.xml><?xml version="1.0" encoding="utf-8"?>
<ax:ocx xmlns:ax="http://schemas.microsoft.com/office/2006/activeX" xmlns:r="http://schemas.openxmlformats.org/officeDocument/2006/relationships" ax:classid="{8BD21D40-EC42-11CE-9E0D-00AA006002F3}" ax:persistence="persistStreamInit" r:id="rId1"/>
</file>

<file path=xl/activeX/activeX184.xml><?xml version="1.0" encoding="utf-8"?>
<ax:ocx xmlns:ax="http://schemas.microsoft.com/office/2006/activeX" xmlns:r="http://schemas.openxmlformats.org/officeDocument/2006/relationships" ax:classid="{8BD21D40-EC42-11CE-9E0D-00AA006002F3}" ax:persistence="persistStreamInit" r:id="rId1"/>
</file>

<file path=xl/activeX/activeX185.xml><?xml version="1.0" encoding="utf-8"?>
<ax:ocx xmlns:ax="http://schemas.microsoft.com/office/2006/activeX" xmlns:r="http://schemas.openxmlformats.org/officeDocument/2006/relationships" ax:classid="{8BD21D40-EC42-11CE-9E0D-00AA006002F3}" ax:persistence="persistStreamInit" r:id="rId1"/>
</file>

<file path=xl/activeX/activeX186.xml><?xml version="1.0" encoding="utf-8"?>
<ax:ocx xmlns:ax="http://schemas.microsoft.com/office/2006/activeX" xmlns:r="http://schemas.openxmlformats.org/officeDocument/2006/relationships" ax:classid="{8BD21D40-EC42-11CE-9E0D-00AA006002F3}" ax:persistence="persistStreamInit" r:id="rId1"/>
</file>

<file path=xl/activeX/activeX187.xml><?xml version="1.0" encoding="utf-8"?>
<ax:ocx xmlns:ax="http://schemas.microsoft.com/office/2006/activeX" xmlns:r="http://schemas.openxmlformats.org/officeDocument/2006/relationships" ax:classid="{8BD21D40-EC42-11CE-9E0D-00AA006002F3}" ax:persistence="persistStreamInit" r:id="rId1"/>
</file>

<file path=xl/activeX/activeX188.xml><?xml version="1.0" encoding="utf-8"?>
<ax:ocx xmlns:ax="http://schemas.microsoft.com/office/2006/activeX" xmlns:r="http://schemas.openxmlformats.org/officeDocument/2006/relationships" ax:classid="{8BD21D40-EC42-11CE-9E0D-00AA006002F3}" ax:persistence="persistStreamInit" r:id="rId1"/>
</file>

<file path=xl/activeX/activeX189.xml><?xml version="1.0" encoding="utf-8"?>
<ax:ocx xmlns:ax="http://schemas.microsoft.com/office/2006/activeX" xmlns:r="http://schemas.openxmlformats.org/officeDocument/2006/relationships" ax:classid="{8BD21D40-EC42-11CE-9E0D-00AA006002F3}" ax:persistence="persistStreamInit" r:id="rId1"/>
</file>

<file path=xl/activeX/activeX190.xml><?xml version="1.0" encoding="utf-8"?>
<ax:ocx xmlns:ax="http://schemas.microsoft.com/office/2006/activeX" xmlns:r="http://schemas.openxmlformats.org/officeDocument/2006/relationships" ax:classid="{8BD21D40-EC42-11CE-9E0D-00AA006002F3}" ax:persistence="persistStreamInit" r:id="rId1"/>
</file>

<file path=xl/activeX/activeX191.xml><?xml version="1.0" encoding="utf-8"?>
<ax:ocx xmlns:ax="http://schemas.microsoft.com/office/2006/activeX" xmlns:r="http://schemas.openxmlformats.org/officeDocument/2006/relationships" ax:classid="{8BD21D40-EC42-11CE-9E0D-00AA006002F3}" ax:persistence="persistStreamInit" r:id="rId1"/>
</file>

<file path=xl/activeX/activeX192.xml><?xml version="1.0" encoding="utf-8"?>
<ax:ocx xmlns:ax="http://schemas.microsoft.com/office/2006/activeX" xmlns:r="http://schemas.openxmlformats.org/officeDocument/2006/relationships" ax:classid="{8BD21D40-EC42-11CE-9E0D-00AA006002F3}" ax:persistence="persistStreamInit" r:id="rId1"/>
</file>

<file path=xl/activeX/activeX193.xml><?xml version="1.0" encoding="utf-8"?>
<ax:ocx xmlns:ax="http://schemas.microsoft.com/office/2006/activeX" xmlns:r="http://schemas.openxmlformats.org/officeDocument/2006/relationships" ax:classid="{8BD21D40-EC42-11CE-9E0D-00AA006002F3}" ax:persistence="persistStreamInit" r:id="rId1"/>
</file>

<file path=xl/activeX/activeX194.xml><?xml version="1.0" encoding="utf-8"?>
<ax:ocx xmlns:ax="http://schemas.microsoft.com/office/2006/activeX" xmlns:r="http://schemas.openxmlformats.org/officeDocument/2006/relationships" ax:classid="{8BD21D40-EC42-11CE-9E0D-00AA006002F3}" ax:persistence="persistStreamInit" r:id="rId1"/>
</file>

<file path=xl/activeX/activeX195.xml><?xml version="1.0" encoding="utf-8"?>
<ax:ocx xmlns:ax="http://schemas.microsoft.com/office/2006/activeX" xmlns:r="http://schemas.openxmlformats.org/officeDocument/2006/relationships" ax:classid="{8BD21D40-EC42-11CE-9E0D-00AA006002F3}" ax:persistence="persistStreamInit" r:id="rId1"/>
</file>

<file path=xl/activeX/activeX196.xml><?xml version="1.0" encoding="utf-8"?>
<ax:ocx xmlns:ax="http://schemas.microsoft.com/office/2006/activeX" xmlns:r="http://schemas.openxmlformats.org/officeDocument/2006/relationships" ax:classid="{8BD21D40-EC42-11CE-9E0D-00AA006002F3}" ax:persistence="persistStreamInit" r:id="rId1"/>
</file>

<file path=xl/activeX/activeX197.xml><?xml version="1.0" encoding="utf-8"?>
<ax:ocx xmlns:ax="http://schemas.microsoft.com/office/2006/activeX" xmlns:r="http://schemas.openxmlformats.org/officeDocument/2006/relationships" ax:classid="{8BD21D40-EC42-11CE-9E0D-00AA006002F3}" ax:persistence="persistStreamInit" r:id="rId1"/>
</file>

<file path=xl/activeX/activeX198.xml><?xml version="1.0" encoding="utf-8"?>
<ax:ocx xmlns:ax="http://schemas.microsoft.com/office/2006/activeX" xmlns:r="http://schemas.openxmlformats.org/officeDocument/2006/relationships" ax:classid="{8BD21D40-EC42-11CE-9E0D-00AA006002F3}" ax:persistence="persistStreamInit" r:id="rId1"/>
</file>

<file path=xl/activeX/activeX199.xml><?xml version="1.0" encoding="utf-8"?>
<ax:ocx xmlns:ax="http://schemas.microsoft.com/office/2006/activeX" xmlns:r="http://schemas.openxmlformats.org/officeDocument/2006/relationships" ax:classid="{8BD21D40-EC42-11CE-9E0D-00AA006002F3}" ax:persistence="persistStreamInit" r:id="rId1"/>
</file>

<file path=xl/activeX/activeX200.xml><?xml version="1.0" encoding="utf-8"?>
<ax:ocx xmlns:ax="http://schemas.microsoft.com/office/2006/activeX" xmlns:r="http://schemas.openxmlformats.org/officeDocument/2006/relationships" ax:classid="{8BD21D40-EC42-11CE-9E0D-00AA006002F3}" ax:persistence="persistStreamInit" r:id="rId1"/>
</file>

<file path=xl/activeX/activeX201.xml><?xml version="1.0" encoding="utf-8"?>
<ax:ocx xmlns:ax="http://schemas.microsoft.com/office/2006/activeX" xmlns:r="http://schemas.openxmlformats.org/officeDocument/2006/relationships" ax:classid="{8BD21D40-EC42-11CE-9E0D-00AA006002F3}" ax:persistence="persistStreamInit" r:id="rId1"/>
</file>

<file path=xl/activeX/activeX202.xml><?xml version="1.0" encoding="utf-8"?>
<ax:ocx xmlns:ax="http://schemas.microsoft.com/office/2006/activeX" xmlns:r="http://schemas.openxmlformats.org/officeDocument/2006/relationships" ax:classid="{8BD21D40-EC42-11CE-9E0D-00AA006002F3}" ax:persistence="persistStreamInit" r:id="rId1"/>
</file>

<file path=xl/activeX/activeX203.xml><?xml version="1.0" encoding="utf-8"?>
<ax:ocx xmlns:ax="http://schemas.microsoft.com/office/2006/activeX" xmlns:r="http://schemas.openxmlformats.org/officeDocument/2006/relationships" ax:classid="{8BD21D40-EC42-11CE-9E0D-00AA006002F3}" ax:persistence="persistStreamInit" r:id="rId1"/>
</file>

<file path=xl/activeX/activeX204.xml><?xml version="1.0" encoding="utf-8"?>
<ax:ocx xmlns:ax="http://schemas.microsoft.com/office/2006/activeX" xmlns:r="http://schemas.openxmlformats.org/officeDocument/2006/relationships" ax:classid="{8BD21D40-EC42-11CE-9E0D-00AA006002F3}" ax:persistence="persistStreamInit" r:id="rId1"/>
</file>

<file path=xl/activeX/activeX205.xml><?xml version="1.0" encoding="utf-8"?>
<ax:ocx xmlns:ax="http://schemas.microsoft.com/office/2006/activeX" xmlns:r="http://schemas.openxmlformats.org/officeDocument/2006/relationships" ax:classid="{8BD21D40-EC42-11CE-9E0D-00AA006002F3}" ax:persistence="persistStreamInit" r:id="rId1"/>
</file>

<file path=xl/activeX/activeX206.xml><?xml version="1.0" encoding="utf-8"?>
<ax:ocx xmlns:ax="http://schemas.microsoft.com/office/2006/activeX" xmlns:r="http://schemas.openxmlformats.org/officeDocument/2006/relationships" ax:classid="{8BD21D40-EC42-11CE-9E0D-00AA006002F3}" ax:persistence="persistStreamInit" r:id="rId1"/>
</file>

<file path=xl/activeX/activeX207.xml><?xml version="1.0" encoding="utf-8"?>
<ax:ocx xmlns:ax="http://schemas.microsoft.com/office/2006/activeX" xmlns:r="http://schemas.openxmlformats.org/officeDocument/2006/relationships" ax:classid="{8BD21D40-EC42-11CE-9E0D-00AA006002F3}" ax:persistence="persistStreamInit" r:id="rId1"/>
</file>

<file path=xl/activeX/activeX208.xml><?xml version="1.0" encoding="utf-8"?>
<ax:ocx xmlns:ax="http://schemas.microsoft.com/office/2006/activeX" xmlns:r="http://schemas.openxmlformats.org/officeDocument/2006/relationships" ax:classid="{8BD21D40-EC42-11CE-9E0D-00AA006002F3}" ax:persistence="persistStreamInit" r:id="rId1"/>
</file>

<file path=xl/activeX/activeX209.xml><?xml version="1.0" encoding="utf-8"?>
<ax:ocx xmlns:ax="http://schemas.microsoft.com/office/2006/activeX" xmlns:r="http://schemas.openxmlformats.org/officeDocument/2006/relationships" ax:classid="{8BD21D40-EC42-11CE-9E0D-00AA006002F3}" ax:persistence="persistStreamInit" r:id="rId1"/>
</file>

<file path=xl/activeX/activeX210.xml><?xml version="1.0" encoding="utf-8"?>
<ax:ocx xmlns:ax="http://schemas.microsoft.com/office/2006/activeX" xmlns:r="http://schemas.openxmlformats.org/officeDocument/2006/relationships" ax:classid="{8BD21D40-EC42-11CE-9E0D-00AA006002F3}" ax:persistence="persistStreamInit" r:id="rId1"/>
</file>

<file path=xl/activeX/activeX211.xml><?xml version="1.0" encoding="utf-8"?>
<ax:ocx xmlns:ax="http://schemas.microsoft.com/office/2006/activeX" xmlns:r="http://schemas.openxmlformats.org/officeDocument/2006/relationships" ax:classid="{8BD21D40-EC42-11CE-9E0D-00AA006002F3}" ax:persistence="persistStreamInit" r:id="rId1"/>
</file>

<file path=xl/activeX/activeX212.xml><?xml version="1.0" encoding="utf-8"?>
<ax:ocx xmlns:ax="http://schemas.microsoft.com/office/2006/activeX" xmlns:r="http://schemas.openxmlformats.org/officeDocument/2006/relationships" ax:classid="{8BD21D40-EC42-11CE-9E0D-00AA006002F3}" ax:persistence="persistStreamInit" r:id="rId1"/>
</file>

<file path=xl/activeX/activeX213.xml><?xml version="1.0" encoding="utf-8"?>
<ax:ocx xmlns:ax="http://schemas.microsoft.com/office/2006/activeX" xmlns:r="http://schemas.openxmlformats.org/officeDocument/2006/relationships" ax:classid="{8BD21D40-EC42-11CE-9E0D-00AA006002F3}" ax:persistence="persistStreamInit" r:id="rId1"/>
</file>

<file path=xl/activeX/activeX214.xml><?xml version="1.0" encoding="utf-8"?>
<ax:ocx xmlns:ax="http://schemas.microsoft.com/office/2006/activeX" xmlns:r="http://schemas.openxmlformats.org/officeDocument/2006/relationships" ax:classid="{8BD21D40-EC42-11CE-9E0D-00AA006002F3}" ax:persistence="persistStreamInit" r:id="rId1"/>
</file>

<file path=xl/activeX/activeX215.xml><?xml version="1.0" encoding="utf-8"?>
<ax:ocx xmlns:ax="http://schemas.microsoft.com/office/2006/activeX" xmlns:r="http://schemas.openxmlformats.org/officeDocument/2006/relationships" ax:classid="{8BD21D40-EC42-11CE-9E0D-00AA006002F3}" ax:persistence="persistStreamInit" r:id="rId1"/>
</file>

<file path=xl/activeX/activeX216.xml><?xml version="1.0" encoding="utf-8"?>
<ax:ocx xmlns:ax="http://schemas.microsoft.com/office/2006/activeX" xmlns:r="http://schemas.openxmlformats.org/officeDocument/2006/relationships" ax:classid="{8BD21D40-EC42-11CE-9E0D-00AA006002F3}" ax:persistence="persistStreamInit" r:id="rId1"/>
</file>

<file path=xl/activeX/activeX217.xml><?xml version="1.0" encoding="utf-8"?>
<ax:ocx xmlns:ax="http://schemas.microsoft.com/office/2006/activeX" xmlns:r="http://schemas.openxmlformats.org/officeDocument/2006/relationships" ax:classid="{8BD21D40-EC42-11CE-9E0D-00AA006002F3}" ax:persistence="persistStreamInit" r:id="rId1"/>
</file>

<file path=xl/activeX/activeX218.xml><?xml version="1.0" encoding="utf-8"?>
<ax:ocx xmlns:ax="http://schemas.microsoft.com/office/2006/activeX" xmlns:r="http://schemas.openxmlformats.org/officeDocument/2006/relationships" ax:classid="{8BD21D40-EC42-11CE-9E0D-00AA006002F3}" ax:persistence="persistStreamInit" r:id="rId1"/>
</file>

<file path=xl/activeX/activeX219.xml><?xml version="1.0" encoding="utf-8"?>
<ax:ocx xmlns:ax="http://schemas.microsoft.com/office/2006/activeX" xmlns:r="http://schemas.openxmlformats.org/officeDocument/2006/relationships" ax:classid="{8BD21D40-EC42-11CE-9E0D-00AA006002F3}" ax:persistence="persistStreamInit" r:id="rId1"/>
</file>

<file path=xl/activeX/activeX220.xml><?xml version="1.0" encoding="utf-8"?>
<ax:ocx xmlns:ax="http://schemas.microsoft.com/office/2006/activeX" xmlns:r="http://schemas.openxmlformats.org/officeDocument/2006/relationships" ax:classid="{8BD21D40-EC42-11CE-9E0D-00AA006002F3}" ax:persistence="persistStreamInit" r:id="rId1"/>
</file>

<file path=xl/activeX/activeX221.xml><?xml version="1.0" encoding="utf-8"?>
<ax:ocx xmlns:ax="http://schemas.microsoft.com/office/2006/activeX" xmlns:r="http://schemas.openxmlformats.org/officeDocument/2006/relationships" ax:classid="{8BD21D40-EC42-11CE-9E0D-00AA006002F3}" ax:persistence="persistStreamInit" r:id="rId1"/>
</file>

<file path=xl/activeX/activeX222.xml><?xml version="1.0" encoding="utf-8"?>
<ax:ocx xmlns:ax="http://schemas.microsoft.com/office/2006/activeX" xmlns:r="http://schemas.openxmlformats.org/officeDocument/2006/relationships" ax:classid="{8BD21D40-EC42-11CE-9E0D-00AA006002F3}" ax:persistence="persistStreamInit" r:id="rId1"/>
</file>

<file path=xl/activeX/activeX223.xml><?xml version="1.0" encoding="utf-8"?>
<ax:ocx xmlns:ax="http://schemas.microsoft.com/office/2006/activeX" xmlns:r="http://schemas.openxmlformats.org/officeDocument/2006/relationships" ax:classid="{8BD21D40-EC42-11CE-9E0D-00AA006002F3}" ax:persistence="persistStreamInit" r:id="rId1"/>
</file>

<file path=xl/activeX/activeX224.xml><?xml version="1.0" encoding="utf-8"?>
<ax:ocx xmlns:ax="http://schemas.microsoft.com/office/2006/activeX" xmlns:r="http://schemas.openxmlformats.org/officeDocument/2006/relationships" ax:classid="{8BD21D40-EC42-11CE-9E0D-00AA006002F3}" ax:persistence="persistStreamInit" r:id="rId1"/>
</file>

<file path=xl/activeX/activeX225.xml><?xml version="1.0" encoding="utf-8"?>
<ax:ocx xmlns:ax="http://schemas.microsoft.com/office/2006/activeX" xmlns:r="http://schemas.openxmlformats.org/officeDocument/2006/relationships" ax:classid="{8BD21D40-EC42-11CE-9E0D-00AA006002F3}" ax:persistence="persistStreamInit" r:id="rId1"/>
</file>

<file path=xl/activeX/activeX226.xml><?xml version="1.0" encoding="utf-8"?>
<ax:ocx xmlns:ax="http://schemas.microsoft.com/office/2006/activeX" xmlns:r="http://schemas.openxmlformats.org/officeDocument/2006/relationships" ax:classid="{8BD21D40-EC42-11CE-9E0D-00AA006002F3}" ax:persistence="persistStreamInit" r:id="rId1"/>
</file>

<file path=xl/activeX/activeX227.xml><?xml version="1.0" encoding="utf-8"?>
<ax:ocx xmlns:ax="http://schemas.microsoft.com/office/2006/activeX" xmlns:r="http://schemas.openxmlformats.org/officeDocument/2006/relationships" ax:classid="{8BD21D40-EC42-11CE-9E0D-00AA006002F3}" ax:persistence="persistStreamInit" r:id="rId1"/>
</file>

<file path=xl/activeX/activeX228.xml><?xml version="1.0" encoding="utf-8"?>
<ax:ocx xmlns:ax="http://schemas.microsoft.com/office/2006/activeX" xmlns:r="http://schemas.openxmlformats.org/officeDocument/2006/relationships" ax:classid="{8BD21D40-EC42-11CE-9E0D-00AA006002F3}" ax:persistence="persistStreamInit" r:id="rId1"/>
</file>

<file path=xl/activeX/activeX229.xml><?xml version="1.0" encoding="utf-8"?>
<ax:ocx xmlns:ax="http://schemas.microsoft.com/office/2006/activeX" xmlns:r="http://schemas.openxmlformats.org/officeDocument/2006/relationships" ax:classid="{8BD21D40-EC42-11CE-9E0D-00AA006002F3}" ax:persistence="persistStreamInit" r:id="rId1"/>
</file>

<file path=xl/activeX/activeX230.xml><?xml version="1.0" encoding="utf-8"?>
<ax:ocx xmlns:ax="http://schemas.microsoft.com/office/2006/activeX" xmlns:r="http://schemas.openxmlformats.org/officeDocument/2006/relationships" ax:classid="{8BD21D40-EC42-11CE-9E0D-00AA006002F3}" ax:persistence="persistStreamInit" r:id="rId1"/>
</file>

<file path=xl/activeX/activeX231.xml><?xml version="1.0" encoding="utf-8"?>
<ax:ocx xmlns:ax="http://schemas.microsoft.com/office/2006/activeX" xmlns:r="http://schemas.openxmlformats.org/officeDocument/2006/relationships" ax:classid="{8BD21D40-EC42-11CE-9E0D-00AA006002F3}" ax:persistence="persistStreamInit" r:id="rId1"/>
</file>

<file path=xl/activeX/activeX232.xml><?xml version="1.0" encoding="utf-8"?>
<ax:ocx xmlns:ax="http://schemas.microsoft.com/office/2006/activeX" xmlns:r="http://schemas.openxmlformats.org/officeDocument/2006/relationships" ax:classid="{8BD21D40-EC42-11CE-9E0D-00AA006002F3}" ax:persistence="persistStreamInit" r:id="rId1"/>
</file>

<file path=xl/activeX/activeX233.xml><?xml version="1.0" encoding="utf-8"?>
<ax:ocx xmlns:ax="http://schemas.microsoft.com/office/2006/activeX" xmlns:r="http://schemas.openxmlformats.org/officeDocument/2006/relationships" ax:classid="{8BD21D40-EC42-11CE-9E0D-00AA006002F3}" ax:persistence="persistStreamInit" r:id="rId1"/>
</file>

<file path=xl/activeX/activeX234.xml><?xml version="1.0" encoding="utf-8"?>
<ax:ocx xmlns:ax="http://schemas.microsoft.com/office/2006/activeX" xmlns:r="http://schemas.openxmlformats.org/officeDocument/2006/relationships" ax:classid="{8BD21D40-EC42-11CE-9E0D-00AA006002F3}" ax:persistence="persistStreamInit" r:id="rId1"/>
</file>

<file path=xl/activeX/activeX235.xml><?xml version="1.0" encoding="utf-8"?>
<ax:ocx xmlns:ax="http://schemas.microsoft.com/office/2006/activeX" xmlns:r="http://schemas.openxmlformats.org/officeDocument/2006/relationships" ax:classid="{8BD21D40-EC42-11CE-9E0D-00AA006002F3}" ax:persistence="persistStreamInit" r:id="rId1"/>
</file>

<file path=xl/activeX/activeX236.xml><?xml version="1.0" encoding="utf-8"?>
<ax:ocx xmlns:ax="http://schemas.microsoft.com/office/2006/activeX" xmlns:r="http://schemas.openxmlformats.org/officeDocument/2006/relationships" ax:classid="{8BD21D40-EC42-11CE-9E0D-00AA006002F3}" ax:persistence="persistStreamInit" r:id="rId1"/>
</file>

<file path=xl/activeX/activeX237.xml><?xml version="1.0" encoding="utf-8"?>
<ax:ocx xmlns:ax="http://schemas.microsoft.com/office/2006/activeX" xmlns:r="http://schemas.openxmlformats.org/officeDocument/2006/relationships" ax:classid="{8BD21D40-EC42-11CE-9E0D-00AA006002F3}" ax:persistence="persistStreamInit" r:id="rId1"/>
</file>

<file path=xl/activeX/activeX238.xml><?xml version="1.0" encoding="utf-8"?>
<ax:ocx xmlns:ax="http://schemas.microsoft.com/office/2006/activeX" xmlns:r="http://schemas.openxmlformats.org/officeDocument/2006/relationships" ax:classid="{8BD21D40-EC42-11CE-9E0D-00AA006002F3}" ax:persistence="persistStreamInit" r:id="rId1"/>
</file>

<file path=xl/activeX/activeX239.xml><?xml version="1.0" encoding="utf-8"?>
<ax:ocx xmlns:ax="http://schemas.microsoft.com/office/2006/activeX" xmlns:r="http://schemas.openxmlformats.org/officeDocument/2006/relationships" ax:classid="{8BD21D40-EC42-11CE-9E0D-00AA006002F3}" ax:persistence="persistStreamInit" r:id="rId1"/>
</file>

<file path=xl/activeX/activeX240.xml><?xml version="1.0" encoding="utf-8"?>
<ax:ocx xmlns:ax="http://schemas.microsoft.com/office/2006/activeX" xmlns:r="http://schemas.openxmlformats.org/officeDocument/2006/relationships" ax:classid="{8BD21D40-EC42-11CE-9E0D-00AA006002F3}" ax:persistence="persistStreamInit" r:id="rId1"/>
</file>

<file path=xl/activeX/activeX241.xml><?xml version="1.0" encoding="utf-8"?>
<ax:ocx xmlns:ax="http://schemas.microsoft.com/office/2006/activeX" xmlns:r="http://schemas.openxmlformats.org/officeDocument/2006/relationships" ax:classid="{8BD21D40-EC42-11CE-9E0D-00AA006002F3}" ax:persistence="persistStreamInit" r:id="rId1"/>
</file>

<file path=xl/activeX/activeX242.xml><?xml version="1.0" encoding="utf-8"?>
<ax:ocx xmlns:ax="http://schemas.microsoft.com/office/2006/activeX" xmlns:r="http://schemas.openxmlformats.org/officeDocument/2006/relationships" ax:classid="{8BD21D40-EC42-11CE-9E0D-00AA006002F3}" ax:persistence="persistStreamInit" r:id="rId1"/>
</file>

<file path=xl/activeX/activeX243.xml><?xml version="1.0" encoding="utf-8"?>
<ax:ocx xmlns:ax="http://schemas.microsoft.com/office/2006/activeX" xmlns:r="http://schemas.openxmlformats.org/officeDocument/2006/relationships" ax:classid="{8BD21D40-EC42-11CE-9E0D-00AA006002F3}" ax:persistence="persistStreamInit" r:id="rId1"/>
</file>

<file path=xl/activeX/activeX244.xml><?xml version="1.0" encoding="utf-8"?>
<ax:ocx xmlns:ax="http://schemas.microsoft.com/office/2006/activeX" xmlns:r="http://schemas.openxmlformats.org/officeDocument/2006/relationships" ax:classid="{8BD21D40-EC42-11CE-9E0D-00AA006002F3}" ax:persistence="persistStreamInit" r:id="rId1"/>
</file>

<file path=xl/activeX/activeX245.xml><?xml version="1.0" encoding="utf-8"?>
<ax:ocx xmlns:ax="http://schemas.microsoft.com/office/2006/activeX" xmlns:r="http://schemas.openxmlformats.org/officeDocument/2006/relationships" ax:classid="{8BD21D40-EC42-11CE-9E0D-00AA006002F3}" ax:persistence="persistStreamInit" r:id="rId1"/>
</file>

<file path=xl/activeX/activeX246.xml><?xml version="1.0" encoding="utf-8"?>
<ax:ocx xmlns:ax="http://schemas.microsoft.com/office/2006/activeX" xmlns:r="http://schemas.openxmlformats.org/officeDocument/2006/relationships" ax:classid="{8BD21D40-EC42-11CE-9E0D-00AA006002F3}" ax:persistence="persistStreamInit" r:id="rId1"/>
</file>

<file path=xl/activeX/activeX247.xml><?xml version="1.0" encoding="utf-8"?>
<ax:ocx xmlns:ax="http://schemas.microsoft.com/office/2006/activeX" xmlns:r="http://schemas.openxmlformats.org/officeDocument/2006/relationships" ax:classid="{8BD21D40-EC42-11CE-9E0D-00AA006002F3}" ax:persistence="persistStreamInit" r:id="rId1"/>
</file>

<file path=xl/activeX/activeX248.xml><?xml version="1.0" encoding="utf-8"?>
<ax:ocx xmlns:ax="http://schemas.microsoft.com/office/2006/activeX" xmlns:r="http://schemas.openxmlformats.org/officeDocument/2006/relationships" ax:classid="{8BD21D40-EC42-11CE-9E0D-00AA006002F3}" ax:persistence="persistStreamInit" r:id="rId1"/>
</file>

<file path=xl/activeX/activeX249.xml><?xml version="1.0" encoding="utf-8"?>
<ax:ocx xmlns:ax="http://schemas.microsoft.com/office/2006/activeX" xmlns:r="http://schemas.openxmlformats.org/officeDocument/2006/relationships" ax:classid="{8BD21D40-EC42-11CE-9E0D-00AA006002F3}" ax:persistence="persistStreamInit" r:id="rId1"/>
</file>

<file path=xl/activeX/activeX250.xml><?xml version="1.0" encoding="utf-8"?>
<ax:ocx xmlns:ax="http://schemas.microsoft.com/office/2006/activeX" xmlns:r="http://schemas.openxmlformats.org/officeDocument/2006/relationships" ax:classid="{8BD21D40-EC42-11CE-9E0D-00AA006002F3}" ax:persistence="persistStreamInit" r:id="rId1"/>
</file>

<file path=xl/activeX/activeX251.xml><?xml version="1.0" encoding="utf-8"?>
<ax:ocx xmlns:ax="http://schemas.microsoft.com/office/2006/activeX" xmlns:r="http://schemas.openxmlformats.org/officeDocument/2006/relationships" ax:classid="{8BD21D40-EC42-11CE-9E0D-00AA006002F3}" ax:persistence="persistStreamInit" r:id="rId1"/>
</file>

<file path=xl/activeX/activeX252.xml><?xml version="1.0" encoding="utf-8"?>
<ax:ocx xmlns:ax="http://schemas.microsoft.com/office/2006/activeX" xmlns:r="http://schemas.openxmlformats.org/officeDocument/2006/relationships" ax:classid="{8BD21D40-EC42-11CE-9E0D-00AA006002F3}" ax:persistence="persistStreamInit" r:id="rId1"/>
</file>

<file path=xl/activeX/activeX253.xml><?xml version="1.0" encoding="utf-8"?>
<ax:ocx xmlns:ax="http://schemas.microsoft.com/office/2006/activeX" xmlns:r="http://schemas.openxmlformats.org/officeDocument/2006/relationships" ax:classid="{8BD21D40-EC42-11CE-9E0D-00AA006002F3}" ax:persistence="persistStreamInit" r:id="rId1"/>
</file>

<file path=xl/activeX/activeX254.xml><?xml version="1.0" encoding="utf-8"?>
<ax:ocx xmlns:ax="http://schemas.microsoft.com/office/2006/activeX" xmlns:r="http://schemas.openxmlformats.org/officeDocument/2006/relationships" ax:classid="{8BD21D40-EC42-11CE-9E0D-00AA006002F3}" ax:persistence="persistStreamInit" r:id="rId1"/>
</file>

<file path=xl/activeX/activeX255.xml><?xml version="1.0" encoding="utf-8"?>
<ax:ocx xmlns:ax="http://schemas.microsoft.com/office/2006/activeX" xmlns:r="http://schemas.openxmlformats.org/officeDocument/2006/relationships" ax:classid="{8BD21D40-EC42-11CE-9E0D-00AA006002F3}" ax:persistence="persistStreamInit" r:id="rId1"/>
</file>

<file path=xl/activeX/activeX256.xml><?xml version="1.0" encoding="utf-8"?>
<ax:ocx xmlns:ax="http://schemas.microsoft.com/office/2006/activeX" xmlns:r="http://schemas.openxmlformats.org/officeDocument/2006/relationships" ax:classid="{8BD21D40-EC42-11CE-9E0D-00AA006002F3}" ax:persistence="persistStreamInit" r:id="rId1"/>
</file>

<file path=xl/activeX/activeX257.xml><?xml version="1.0" encoding="utf-8"?>
<ax:ocx xmlns:ax="http://schemas.microsoft.com/office/2006/activeX" xmlns:r="http://schemas.openxmlformats.org/officeDocument/2006/relationships" ax:classid="{8BD21D40-EC42-11CE-9E0D-00AA006002F3}" ax:persistence="persistStreamInit" r:id="rId1"/>
</file>

<file path=xl/activeX/activeX258.xml><?xml version="1.0" encoding="utf-8"?>
<ax:ocx xmlns:ax="http://schemas.microsoft.com/office/2006/activeX" xmlns:r="http://schemas.openxmlformats.org/officeDocument/2006/relationships" ax:classid="{8BD21D40-EC42-11CE-9E0D-00AA006002F3}" ax:persistence="persistStreamInit" r:id="rId1"/>
</file>

<file path=xl/activeX/activeX259.xml><?xml version="1.0" encoding="utf-8"?>
<ax:ocx xmlns:ax="http://schemas.microsoft.com/office/2006/activeX" xmlns:r="http://schemas.openxmlformats.org/officeDocument/2006/relationships" ax:classid="{8BD21D40-EC42-11CE-9E0D-00AA006002F3}" ax:persistence="persistStreamInit" r:id="rId1"/>
</file>

<file path=xl/activeX/activeX260.xml><?xml version="1.0" encoding="utf-8"?>
<ax:ocx xmlns:ax="http://schemas.microsoft.com/office/2006/activeX" xmlns:r="http://schemas.openxmlformats.org/officeDocument/2006/relationships" ax:classid="{8BD21D40-EC42-11CE-9E0D-00AA006002F3}" ax:persistence="persistStreamInit" r:id="rId1"/>
</file>

<file path=xl/activeX/activeX261.xml><?xml version="1.0" encoding="utf-8"?>
<ax:ocx xmlns:ax="http://schemas.microsoft.com/office/2006/activeX" xmlns:r="http://schemas.openxmlformats.org/officeDocument/2006/relationships" ax:classid="{8BD21D40-EC42-11CE-9E0D-00AA006002F3}" ax:persistence="persistStreamInit" r:id="rId1"/>
</file>

<file path=xl/activeX/activeX262.xml><?xml version="1.0" encoding="utf-8"?>
<ax:ocx xmlns:ax="http://schemas.microsoft.com/office/2006/activeX" xmlns:r="http://schemas.openxmlformats.org/officeDocument/2006/relationships" ax:classid="{8BD21D40-EC42-11CE-9E0D-00AA006002F3}" ax:persistence="persistStreamInit" r:id="rId1"/>
</file>

<file path=xl/activeX/activeX263.xml><?xml version="1.0" encoding="utf-8"?>
<ax:ocx xmlns:ax="http://schemas.microsoft.com/office/2006/activeX" xmlns:r="http://schemas.openxmlformats.org/officeDocument/2006/relationships" ax:classid="{8BD21D40-EC42-11CE-9E0D-00AA006002F3}" ax:persistence="persistStreamInit" r:id="rId1"/>
</file>

<file path=xl/activeX/activeX264.xml><?xml version="1.0" encoding="utf-8"?>
<ax:ocx xmlns:ax="http://schemas.microsoft.com/office/2006/activeX" xmlns:r="http://schemas.openxmlformats.org/officeDocument/2006/relationships" ax:classid="{8BD21D40-EC42-11CE-9E0D-00AA006002F3}" ax:persistence="persistStreamInit" r:id="rId1"/>
</file>

<file path=xl/activeX/activeX265.xml><?xml version="1.0" encoding="utf-8"?>
<ax:ocx xmlns:ax="http://schemas.microsoft.com/office/2006/activeX" xmlns:r="http://schemas.openxmlformats.org/officeDocument/2006/relationships" ax:classid="{8BD21D40-EC42-11CE-9E0D-00AA006002F3}" ax:persistence="persistStreamInit" r:id="rId1"/>
</file>

<file path=xl/activeX/activeX266.xml><?xml version="1.0" encoding="utf-8"?>
<ax:ocx xmlns:ax="http://schemas.microsoft.com/office/2006/activeX" xmlns:r="http://schemas.openxmlformats.org/officeDocument/2006/relationships" ax:classid="{8BD21D40-EC42-11CE-9E0D-00AA006002F3}" ax:persistence="persistStreamInit" r:id="rId1"/>
</file>

<file path=xl/activeX/activeX267.xml><?xml version="1.0" encoding="utf-8"?>
<ax:ocx xmlns:ax="http://schemas.microsoft.com/office/2006/activeX" xmlns:r="http://schemas.openxmlformats.org/officeDocument/2006/relationships" ax:classid="{8BD21D40-EC42-11CE-9E0D-00AA006002F3}" ax:persistence="persistStreamInit" r:id="rId1"/>
</file>

<file path=xl/activeX/activeX268.xml><?xml version="1.0" encoding="utf-8"?>
<ax:ocx xmlns:ax="http://schemas.microsoft.com/office/2006/activeX" xmlns:r="http://schemas.openxmlformats.org/officeDocument/2006/relationships" ax:classid="{8BD21D40-EC42-11CE-9E0D-00AA006002F3}" ax:persistence="persistStreamInit" r:id="rId1"/>
</file>

<file path=xl/activeX/activeX269.xml><?xml version="1.0" encoding="utf-8"?>
<ax:ocx xmlns:ax="http://schemas.microsoft.com/office/2006/activeX" xmlns:r="http://schemas.openxmlformats.org/officeDocument/2006/relationships" ax:classid="{8BD21D40-EC42-11CE-9E0D-00AA006002F3}" ax:persistence="persistStreamInit" r:id="rId1"/>
</file>

<file path=xl/activeX/activeX270.xml><?xml version="1.0" encoding="utf-8"?>
<ax:ocx xmlns:ax="http://schemas.microsoft.com/office/2006/activeX" xmlns:r="http://schemas.openxmlformats.org/officeDocument/2006/relationships" ax:classid="{8BD21D40-EC42-11CE-9E0D-00AA006002F3}" ax:persistence="persistStreamInit" r:id="rId1"/>
</file>

<file path=xl/activeX/activeX271.xml><?xml version="1.0" encoding="utf-8"?>
<ax:ocx xmlns:ax="http://schemas.microsoft.com/office/2006/activeX" xmlns:r="http://schemas.openxmlformats.org/officeDocument/2006/relationships" ax:classid="{8BD21D40-EC42-11CE-9E0D-00AA006002F3}" ax:persistence="persistStreamInit" r:id="rId1"/>
</file>

<file path=xl/activeX/activeX272.xml><?xml version="1.0" encoding="utf-8"?>
<ax:ocx xmlns:ax="http://schemas.microsoft.com/office/2006/activeX" xmlns:r="http://schemas.openxmlformats.org/officeDocument/2006/relationships" ax:classid="{8BD21D40-EC42-11CE-9E0D-00AA006002F3}" ax:persistence="persistStreamInit" r:id="rId1"/>
</file>

<file path=xl/activeX/activeX273.xml><?xml version="1.0" encoding="utf-8"?>
<ax:ocx xmlns:ax="http://schemas.microsoft.com/office/2006/activeX" xmlns:r="http://schemas.openxmlformats.org/officeDocument/2006/relationships" ax:classid="{8BD21D40-EC42-11CE-9E0D-00AA006002F3}" ax:persistence="persistStreamInit" r:id="rId1"/>
</file>

<file path=xl/activeX/activeX274.xml><?xml version="1.0" encoding="utf-8"?>
<ax:ocx xmlns:ax="http://schemas.microsoft.com/office/2006/activeX" xmlns:r="http://schemas.openxmlformats.org/officeDocument/2006/relationships" ax:classid="{8BD21D40-EC42-11CE-9E0D-00AA006002F3}" ax:persistence="persistStreamInit" r:id="rId1"/>
</file>

<file path=xl/activeX/activeX275.xml><?xml version="1.0" encoding="utf-8"?>
<ax:ocx xmlns:ax="http://schemas.microsoft.com/office/2006/activeX" xmlns:r="http://schemas.openxmlformats.org/officeDocument/2006/relationships" ax:classid="{8BD21D40-EC42-11CE-9E0D-00AA006002F3}" ax:persistence="persistStreamInit" r:id="rId1"/>
</file>

<file path=xl/activeX/activeX276.xml><?xml version="1.0" encoding="utf-8"?>
<ax:ocx xmlns:ax="http://schemas.microsoft.com/office/2006/activeX" xmlns:r="http://schemas.openxmlformats.org/officeDocument/2006/relationships" ax:classid="{8BD21D40-EC42-11CE-9E0D-00AA006002F3}" ax:persistence="persistStreamInit" r:id="rId1"/>
</file>

<file path=xl/activeX/activeX277.xml><?xml version="1.0" encoding="utf-8"?>
<ax:ocx xmlns:ax="http://schemas.microsoft.com/office/2006/activeX" xmlns:r="http://schemas.openxmlformats.org/officeDocument/2006/relationships" ax:classid="{8BD21D40-EC42-11CE-9E0D-00AA006002F3}" ax:persistence="persistStreamInit" r:id="rId1"/>
</file>

<file path=xl/activeX/activeX278.xml><?xml version="1.0" encoding="utf-8"?>
<ax:ocx xmlns:ax="http://schemas.microsoft.com/office/2006/activeX" xmlns:r="http://schemas.openxmlformats.org/officeDocument/2006/relationships" ax:classid="{8BD21D40-EC42-11CE-9E0D-00AA006002F3}" ax:persistence="persistStreamInit" r:id="rId1"/>
</file>

<file path=xl/activeX/activeX279.xml><?xml version="1.0" encoding="utf-8"?>
<ax:ocx xmlns:ax="http://schemas.microsoft.com/office/2006/activeX" xmlns:r="http://schemas.openxmlformats.org/officeDocument/2006/relationships" ax:classid="{8BD21D40-EC42-11CE-9E0D-00AA006002F3}" ax:persistence="persistStreamInit" r:id="rId1"/>
</file>

<file path=xl/activeX/activeX280.xml><?xml version="1.0" encoding="utf-8"?>
<ax:ocx xmlns:ax="http://schemas.microsoft.com/office/2006/activeX" xmlns:r="http://schemas.openxmlformats.org/officeDocument/2006/relationships" ax:classid="{8BD21D40-EC42-11CE-9E0D-00AA006002F3}" ax:persistence="persistStreamInit" r:id="rId1"/>
</file>

<file path=xl/activeX/activeX281.xml><?xml version="1.0" encoding="utf-8"?>
<ax:ocx xmlns:ax="http://schemas.microsoft.com/office/2006/activeX" xmlns:r="http://schemas.openxmlformats.org/officeDocument/2006/relationships" ax:classid="{8BD21D40-EC42-11CE-9E0D-00AA006002F3}" ax:persistence="persistStreamInit" r:id="rId1"/>
</file>

<file path=xl/activeX/activeX282.xml><?xml version="1.0" encoding="utf-8"?>
<ax:ocx xmlns:ax="http://schemas.microsoft.com/office/2006/activeX" xmlns:r="http://schemas.openxmlformats.org/officeDocument/2006/relationships" ax:classid="{8BD21D40-EC42-11CE-9E0D-00AA006002F3}" ax:persistence="persistStreamInit" r:id="rId1"/>
</file>

<file path=xl/activeX/activeX283.xml><?xml version="1.0" encoding="utf-8"?>
<ax:ocx xmlns:ax="http://schemas.microsoft.com/office/2006/activeX" xmlns:r="http://schemas.openxmlformats.org/officeDocument/2006/relationships" ax:classid="{8BD21D40-EC42-11CE-9E0D-00AA006002F3}" ax:persistence="persistStreamInit" r:id="rId1"/>
</file>

<file path=xl/activeX/activeX284.xml><?xml version="1.0" encoding="utf-8"?>
<ax:ocx xmlns:ax="http://schemas.microsoft.com/office/2006/activeX" xmlns:r="http://schemas.openxmlformats.org/officeDocument/2006/relationships" ax:classid="{8BD21D40-EC42-11CE-9E0D-00AA006002F3}" ax:persistence="persistStreamInit" r:id="rId1"/>
</file>

<file path=xl/activeX/activeX285.xml><?xml version="1.0" encoding="utf-8"?>
<ax:ocx xmlns:ax="http://schemas.microsoft.com/office/2006/activeX" xmlns:r="http://schemas.openxmlformats.org/officeDocument/2006/relationships" ax:classid="{8BD21D40-EC42-11CE-9E0D-00AA006002F3}" ax:persistence="persistStreamInit" r:id="rId1"/>
</file>

<file path=xl/activeX/activeX286.xml><?xml version="1.0" encoding="utf-8"?>
<ax:ocx xmlns:ax="http://schemas.microsoft.com/office/2006/activeX" xmlns:r="http://schemas.openxmlformats.org/officeDocument/2006/relationships" ax:classid="{8BD21D40-EC42-11CE-9E0D-00AA006002F3}" ax:persistence="persistStreamInit" r:id="rId1"/>
</file>

<file path=xl/activeX/activeX287.xml><?xml version="1.0" encoding="utf-8"?>
<ax:ocx xmlns:ax="http://schemas.microsoft.com/office/2006/activeX" xmlns:r="http://schemas.openxmlformats.org/officeDocument/2006/relationships" ax:classid="{8BD21D40-EC42-11CE-9E0D-00AA006002F3}" ax:persistence="persistStreamInit" r:id="rId1"/>
</file>

<file path=xl/activeX/activeX288.xml><?xml version="1.0" encoding="utf-8"?>
<ax:ocx xmlns:ax="http://schemas.microsoft.com/office/2006/activeX" xmlns:r="http://schemas.openxmlformats.org/officeDocument/2006/relationships" ax:classid="{8BD21D40-EC42-11CE-9E0D-00AA006002F3}" ax:persistence="persistStreamInit" r:id="rId1"/>
</file>

<file path=xl/activeX/activeX289.xml><?xml version="1.0" encoding="utf-8"?>
<ax:ocx xmlns:ax="http://schemas.microsoft.com/office/2006/activeX" xmlns:r="http://schemas.openxmlformats.org/officeDocument/2006/relationships" ax:classid="{8BD21D40-EC42-11CE-9E0D-00AA006002F3}" ax:persistence="persistStreamInit" r:id="rId1"/>
</file>

<file path=xl/activeX/activeX290.xml><?xml version="1.0" encoding="utf-8"?>
<ax:ocx xmlns:ax="http://schemas.microsoft.com/office/2006/activeX" xmlns:r="http://schemas.openxmlformats.org/officeDocument/2006/relationships" ax:classid="{8BD21D40-EC42-11CE-9E0D-00AA006002F3}" ax:persistence="persistStreamInit" r:id="rId1"/>
</file>

<file path=xl/activeX/activeX291.xml><?xml version="1.0" encoding="utf-8"?>
<ax:ocx xmlns:ax="http://schemas.microsoft.com/office/2006/activeX" xmlns:r="http://schemas.openxmlformats.org/officeDocument/2006/relationships" ax:classid="{8BD21D40-EC42-11CE-9E0D-00AA006002F3}" ax:persistence="persistStreamInit" r:id="rId1"/>
</file>

<file path=xl/activeX/activeX292.xml><?xml version="1.0" encoding="utf-8"?>
<ax:ocx xmlns:ax="http://schemas.microsoft.com/office/2006/activeX" xmlns:r="http://schemas.openxmlformats.org/officeDocument/2006/relationships" ax:classid="{8BD21D40-EC42-11CE-9E0D-00AA006002F3}" ax:persistence="persistStreamInit" r:id="rId1"/>
</file>

<file path=xl/activeX/activeX293.xml><?xml version="1.0" encoding="utf-8"?>
<ax:ocx xmlns:ax="http://schemas.microsoft.com/office/2006/activeX" xmlns:r="http://schemas.openxmlformats.org/officeDocument/2006/relationships" ax:classid="{8BD21D40-EC42-11CE-9E0D-00AA006002F3}" ax:persistence="persistStreamInit" r:id="rId1"/>
</file>

<file path=xl/activeX/activeX294.xml><?xml version="1.0" encoding="utf-8"?>
<ax:ocx xmlns:ax="http://schemas.microsoft.com/office/2006/activeX" xmlns:r="http://schemas.openxmlformats.org/officeDocument/2006/relationships" ax:classid="{8BD21D40-EC42-11CE-9E0D-00AA006002F3}" ax:persistence="persistStreamInit" r:id="rId1"/>
</file>

<file path=xl/activeX/activeX295.xml><?xml version="1.0" encoding="utf-8"?>
<ax:ocx xmlns:ax="http://schemas.microsoft.com/office/2006/activeX" xmlns:r="http://schemas.openxmlformats.org/officeDocument/2006/relationships" ax:classid="{8BD21D40-EC42-11CE-9E0D-00AA006002F3}" ax:persistence="persistStreamInit" r:id="rId1"/>
</file>

<file path=xl/activeX/activeX296.xml><?xml version="1.0" encoding="utf-8"?>
<ax:ocx xmlns:ax="http://schemas.microsoft.com/office/2006/activeX" xmlns:r="http://schemas.openxmlformats.org/officeDocument/2006/relationships" ax:classid="{8BD21D40-EC42-11CE-9E0D-00AA006002F3}" ax:persistence="persistStreamInit" r:id="rId1"/>
</file>

<file path=xl/activeX/activeX297.xml><?xml version="1.0" encoding="utf-8"?>
<ax:ocx xmlns:ax="http://schemas.microsoft.com/office/2006/activeX" xmlns:r="http://schemas.openxmlformats.org/officeDocument/2006/relationships" ax:classid="{8BD21D40-EC42-11CE-9E0D-00AA006002F3}" ax:persistence="persistStreamInit" r:id="rId1"/>
</file>

<file path=xl/activeX/activeX298.xml><?xml version="1.0" encoding="utf-8"?>
<ax:ocx xmlns:ax="http://schemas.microsoft.com/office/2006/activeX" xmlns:r="http://schemas.openxmlformats.org/officeDocument/2006/relationships" ax:classid="{8BD21D40-EC42-11CE-9E0D-00AA006002F3}" ax:persistence="persistStreamInit" r:id="rId1"/>
</file>

<file path=xl/activeX/activeX299.xml><?xml version="1.0" encoding="utf-8"?>
<ax:ocx xmlns:ax="http://schemas.microsoft.com/office/2006/activeX" xmlns:r="http://schemas.openxmlformats.org/officeDocument/2006/relationships" ax:classid="{8BD21D40-EC42-11CE-9E0D-00AA006002F3}" ax:persistence="persistStreamInit" r:id="rId1"/>
</file>

<file path=xl/activeX/activeX300.xml><?xml version="1.0" encoding="utf-8"?>
<ax:ocx xmlns:ax="http://schemas.microsoft.com/office/2006/activeX" xmlns:r="http://schemas.openxmlformats.org/officeDocument/2006/relationships" ax:classid="{8BD21D40-EC42-11CE-9E0D-00AA006002F3}" ax:persistence="persistStreamInit" r:id="rId1"/>
</file>

<file path=xl/activeX/activeX301.xml><?xml version="1.0" encoding="utf-8"?>
<ax:ocx xmlns:ax="http://schemas.microsoft.com/office/2006/activeX" xmlns:r="http://schemas.openxmlformats.org/officeDocument/2006/relationships" ax:classid="{8BD21D40-EC42-11CE-9E0D-00AA006002F3}" ax:persistence="persistStreamInit" r:id="rId1"/>
</file>

<file path=xl/activeX/activeX302.xml><?xml version="1.0" encoding="utf-8"?>
<ax:ocx xmlns:ax="http://schemas.microsoft.com/office/2006/activeX" xmlns:r="http://schemas.openxmlformats.org/officeDocument/2006/relationships" ax:classid="{8BD21D40-EC42-11CE-9E0D-00AA006002F3}" ax:persistence="persistStreamInit" r:id="rId1"/>
</file>

<file path=xl/activeX/activeX303.xml><?xml version="1.0" encoding="utf-8"?>
<ax:ocx xmlns:ax="http://schemas.microsoft.com/office/2006/activeX" xmlns:r="http://schemas.openxmlformats.org/officeDocument/2006/relationships" ax:classid="{8BD21D40-EC42-11CE-9E0D-00AA006002F3}" ax:persistence="persistStreamInit" r:id="rId1"/>
</file>

<file path=xl/activeX/activeX304.xml><?xml version="1.0" encoding="utf-8"?>
<ax:ocx xmlns:ax="http://schemas.microsoft.com/office/2006/activeX" xmlns:r="http://schemas.openxmlformats.org/officeDocument/2006/relationships" ax:classid="{8BD21D40-EC42-11CE-9E0D-00AA006002F3}" ax:persistence="persistStreamInit" r:id="rId1"/>
</file>

<file path=xl/activeX/activeX305.xml><?xml version="1.0" encoding="utf-8"?>
<ax:ocx xmlns:ax="http://schemas.microsoft.com/office/2006/activeX" xmlns:r="http://schemas.openxmlformats.org/officeDocument/2006/relationships" ax:classid="{8BD21D40-EC42-11CE-9E0D-00AA006002F3}" ax:persistence="persistStreamInit" r:id="rId1"/>
</file>

<file path=xl/activeX/activeX306.xml><?xml version="1.0" encoding="utf-8"?>
<ax:ocx xmlns:ax="http://schemas.microsoft.com/office/2006/activeX" xmlns:r="http://schemas.openxmlformats.org/officeDocument/2006/relationships" ax:classid="{8BD21D40-EC42-11CE-9E0D-00AA006002F3}" ax:persistence="persistStreamInit" r:id="rId1"/>
</file>

<file path=xl/activeX/activeX307.xml><?xml version="1.0" encoding="utf-8"?>
<ax:ocx xmlns:ax="http://schemas.microsoft.com/office/2006/activeX" xmlns:r="http://schemas.openxmlformats.org/officeDocument/2006/relationships" ax:classid="{8BD21D40-EC42-11CE-9E0D-00AA006002F3}" ax:persistence="persistStreamInit" r:id="rId1"/>
</file>

<file path=xl/activeX/activeX308.xml><?xml version="1.0" encoding="utf-8"?>
<ax:ocx xmlns:ax="http://schemas.microsoft.com/office/2006/activeX" xmlns:r="http://schemas.openxmlformats.org/officeDocument/2006/relationships" ax:classid="{8BD21D40-EC42-11CE-9E0D-00AA006002F3}" ax:persistence="persistStreamInit" r:id="rId1"/>
</file>

<file path=xl/activeX/activeX309.xml><?xml version="1.0" encoding="utf-8"?>
<ax:ocx xmlns:ax="http://schemas.microsoft.com/office/2006/activeX" xmlns:r="http://schemas.openxmlformats.org/officeDocument/2006/relationships" ax:classid="{8BD21D40-EC42-11CE-9E0D-00AA006002F3}" ax:persistence="persistStreamInit" r:id="rId1"/>
</file>

<file path=xl/activeX/activeX310.xml><?xml version="1.0" encoding="utf-8"?>
<ax:ocx xmlns:ax="http://schemas.microsoft.com/office/2006/activeX" xmlns:r="http://schemas.openxmlformats.org/officeDocument/2006/relationships" ax:classid="{8BD21D40-EC42-11CE-9E0D-00AA006002F3}" ax:persistence="persistStreamInit" r:id="rId1"/>
</file>

<file path=xl/activeX/activeX311.xml><?xml version="1.0" encoding="utf-8"?>
<ax:ocx xmlns:ax="http://schemas.microsoft.com/office/2006/activeX" xmlns:r="http://schemas.openxmlformats.org/officeDocument/2006/relationships" ax:classid="{8BD21D40-EC42-11CE-9E0D-00AA006002F3}" ax:persistence="persistStreamInit" r:id="rId1"/>
</file>

<file path=xl/activeX/activeX312.xml><?xml version="1.0" encoding="utf-8"?>
<ax:ocx xmlns:ax="http://schemas.microsoft.com/office/2006/activeX" xmlns:r="http://schemas.openxmlformats.org/officeDocument/2006/relationships" ax:classid="{8BD21D40-EC42-11CE-9E0D-00AA006002F3}" ax:persistence="persistStreamInit" r:id="rId1"/>
</file>

<file path=xl/activeX/activeX313.xml><?xml version="1.0" encoding="utf-8"?>
<ax:ocx xmlns:ax="http://schemas.microsoft.com/office/2006/activeX" xmlns:r="http://schemas.openxmlformats.org/officeDocument/2006/relationships" ax:classid="{8BD21D40-EC42-11CE-9E0D-00AA006002F3}" ax:persistence="persistStreamInit" r:id="rId1"/>
</file>

<file path=xl/activeX/activeX314.xml><?xml version="1.0" encoding="utf-8"?>
<ax:ocx xmlns:ax="http://schemas.microsoft.com/office/2006/activeX" xmlns:r="http://schemas.openxmlformats.org/officeDocument/2006/relationships" ax:classid="{8BD21D40-EC42-11CE-9E0D-00AA006002F3}" ax:persistence="persistStreamInit" r:id="rId1"/>
</file>

<file path=xl/activeX/activeX315.xml><?xml version="1.0" encoding="utf-8"?>
<ax:ocx xmlns:ax="http://schemas.microsoft.com/office/2006/activeX" xmlns:r="http://schemas.openxmlformats.org/officeDocument/2006/relationships" ax:classid="{8BD21D40-EC42-11CE-9E0D-00AA006002F3}" ax:persistence="persistStreamInit" r:id="rId1"/>
</file>

<file path=xl/activeX/activeX316.xml><?xml version="1.0" encoding="utf-8"?>
<ax:ocx xmlns:ax="http://schemas.microsoft.com/office/2006/activeX" xmlns:r="http://schemas.openxmlformats.org/officeDocument/2006/relationships" ax:classid="{8BD21D40-EC42-11CE-9E0D-00AA006002F3}" ax:persistence="persistStreamInit" r:id="rId1"/>
</file>

<file path=xl/activeX/activeX317.xml><?xml version="1.0" encoding="utf-8"?>
<ax:ocx xmlns:ax="http://schemas.microsoft.com/office/2006/activeX" xmlns:r="http://schemas.openxmlformats.org/officeDocument/2006/relationships" ax:classid="{8BD21D40-EC42-11CE-9E0D-00AA006002F3}" ax:persistence="persistStreamInit" r:id="rId1"/>
</file>

<file path=xl/activeX/activeX318.xml><?xml version="1.0" encoding="utf-8"?>
<ax:ocx xmlns:ax="http://schemas.microsoft.com/office/2006/activeX" xmlns:r="http://schemas.openxmlformats.org/officeDocument/2006/relationships" ax:classid="{8BD21D40-EC42-11CE-9E0D-00AA006002F3}" ax:persistence="persistStreamInit" r:id="rId1"/>
</file>

<file path=xl/activeX/activeX319.xml><?xml version="1.0" encoding="utf-8"?>
<ax:ocx xmlns:ax="http://schemas.microsoft.com/office/2006/activeX" xmlns:r="http://schemas.openxmlformats.org/officeDocument/2006/relationships" ax:classid="{8BD21D40-EC42-11CE-9E0D-00AA006002F3}" ax:persistence="persistStreamInit" r:id="rId1"/>
</file>

<file path=xl/activeX/activeX320.xml><?xml version="1.0" encoding="utf-8"?>
<ax:ocx xmlns:ax="http://schemas.microsoft.com/office/2006/activeX" xmlns:r="http://schemas.openxmlformats.org/officeDocument/2006/relationships" ax:classid="{8BD21D40-EC42-11CE-9E0D-00AA006002F3}" ax:persistence="persistStreamInit" r:id="rId1"/>
</file>

<file path=xl/activeX/activeX321.xml><?xml version="1.0" encoding="utf-8"?>
<ax:ocx xmlns:ax="http://schemas.microsoft.com/office/2006/activeX" xmlns:r="http://schemas.openxmlformats.org/officeDocument/2006/relationships" ax:classid="{8BD21D40-EC42-11CE-9E0D-00AA006002F3}" ax:persistence="persistStreamInit" r:id="rId1"/>
</file>

<file path=xl/activeX/activeX322.xml><?xml version="1.0" encoding="utf-8"?>
<ax:ocx xmlns:ax="http://schemas.microsoft.com/office/2006/activeX" xmlns:r="http://schemas.openxmlformats.org/officeDocument/2006/relationships" ax:classid="{8BD21D40-EC42-11CE-9E0D-00AA006002F3}" ax:persistence="persistStreamInit" r:id="rId1"/>
</file>

<file path=xl/activeX/activeX323.xml><?xml version="1.0" encoding="utf-8"?>
<ax:ocx xmlns:ax="http://schemas.microsoft.com/office/2006/activeX" xmlns:r="http://schemas.openxmlformats.org/officeDocument/2006/relationships" ax:classid="{8BD21D40-EC42-11CE-9E0D-00AA006002F3}" ax:persistence="persistStreamInit" r:id="rId1"/>
</file>

<file path=xl/activeX/activeX324.xml><?xml version="1.0" encoding="utf-8"?>
<ax:ocx xmlns:ax="http://schemas.microsoft.com/office/2006/activeX" xmlns:r="http://schemas.openxmlformats.org/officeDocument/2006/relationships" ax:classid="{8BD21D40-EC42-11CE-9E0D-00AA006002F3}" ax:persistence="persistStreamInit" r:id="rId1"/>
</file>

<file path=xl/activeX/activeX325.xml><?xml version="1.0" encoding="utf-8"?>
<ax:ocx xmlns:ax="http://schemas.microsoft.com/office/2006/activeX" xmlns:r="http://schemas.openxmlformats.org/officeDocument/2006/relationships" ax:classid="{8BD21D40-EC42-11CE-9E0D-00AA006002F3}" ax:persistence="persistStreamInit" r:id="rId1"/>
</file>

<file path=xl/activeX/activeX326.xml><?xml version="1.0" encoding="utf-8"?>
<ax:ocx xmlns:ax="http://schemas.microsoft.com/office/2006/activeX" xmlns:r="http://schemas.openxmlformats.org/officeDocument/2006/relationships" ax:classid="{8BD21D40-EC42-11CE-9E0D-00AA006002F3}" ax:persistence="persistStreamInit" r:id="rId1"/>
</file>

<file path=xl/activeX/activeX327.xml><?xml version="1.0" encoding="utf-8"?>
<ax:ocx xmlns:ax="http://schemas.microsoft.com/office/2006/activeX" xmlns:r="http://schemas.openxmlformats.org/officeDocument/2006/relationships" ax:classid="{8BD21D40-EC42-11CE-9E0D-00AA006002F3}" ax:persistence="persistStreamInit" r:id="rId1"/>
</file>

<file path=xl/activeX/activeX328.xml><?xml version="1.0" encoding="utf-8"?>
<ax:ocx xmlns:ax="http://schemas.microsoft.com/office/2006/activeX" xmlns:r="http://schemas.openxmlformats.org/officeDocument/2006/relationships" ax:classid="{8BD21D40-EC42-11CE-9E0D-00AA006002F3}" ax:persistence="persistStreamInit" r:id="rId1"/>
</file>

<file path=xl/activeX/activeX329.xml><?xml version="1.0" encoding="utf-8"?>
<ax:ocx xmlns:ax="http://schemas.microsoft.com/office/2006/activeX" xmlns:r="http://schemas.openxmlformats.org/officeDocument/2006/relationships" ax:classid="{8BD21D40-EC42-11CE-9E0D-00AA006002F3}" ax:persistence="persistStreamInit" r:id="rId1"/>
</file>

<file path=xl/activeX/activeX330.xml><?xml version="1.0" encoding="utf-8"?>
<ax:ocx xmlns:ax="http://schemas.microsoft.com/office/2006/activeX" xmlns:r="http://schemas.openxmlformats.org/officeDocument/2006/relationships" ax:classid="{8BD21D40-EC42-11CE-9E0D-00AA006002F3}" ax:persistence="persistStreamInit" r:id="rId1"/>
</file>

<file path=xl/activeX/activeX331.xml><?xml version="1.0" encoding="utf-8"?>
<ax:ocx xmlns:ax="http://schemas.microsoft.com/office/2006/activeX" xmlns:r="http://schemas.openxmlformats.org/officeDocument/2006/relationships" ax:classid="{8BD21D40-EC42-11CE-9E0D-00AA006002F3}" ax:persistence="persistStreamInit" r:id="rId1"/>
</file>

<file path=xl/activeX/activeX332.xml><?xml version="1.0" encoding="utf-8"?>
<ax:ocx xmlns:ax="http://schemas.microsoft.com/office/2006/activeX" xmlns:r="http://schemas.openxmlformats.org/officeDocument/2006/relationships" ax:classid="{8BD21D40-EC42-11CE-9E0D-00AA006002F3}" ax:persistence="persistStreamInit" r:id="rId1"/>
</file>

<file path=xl/activeX/activeX333.xml><?xml version="1.0" encoding="utf-8"?>
<ax:ocx xmlns:ax="http://schemas.microsoft.com/office/2006/activeX" xmlns:r="http://schemas.openxmlformats.org/officeDocument/2006/relationships" ax:classid="{8BD21D40-EC42-11CE-9E0D-00AA006002F3}" ax:persistence="persistStreamInit" r:id="rId1"/>
</file>

<file path=xl/activeX/activeX334.xml><?xml version="1.0" encoding="utf-8"?>
<ax:ocx xmlns:ax="http://schemas.microsoft.com/office/2006/activeX" xmlns:r="http://schemas.openxmlformats.org/officeDocument/2006/relationships" ax:classid="{8BD21D40-EC42-11CE-9E0D-00AA006002F3}" ax:persistence="persistStreamInit" r:id="rId1"/>
</file>

<file path=xl/activeX/activeX335.xml><?xml version="1.0" encoding="utf-8"?>
<ax:ocx xmlns:ax="http://schemas.microsoft.com/office/2006/activeX" xmlns:r="http://schemas.openxmlformats.org/officeDocument/2006/relationships" ax:classid="{8BD21D40-EC42-11CE-9E0D-00AA006002F3}" ax:persistence="persistStreamInit" r:id="rId1"/>
</file>

<file path=xl/activeX/activeX336.xml><?xml version="1.0" encoding="utf-8"?>
<ax:ocx xmlns:ax="http://schemas.microsoft.com/office/2006/activeX" xmlns:r="http://schemas.openxmlformats.org/officeDocument/2006/relationships" ax:classid="{8BD21D40-EC42-11CE-9E0D-00AA006002F3}" ax:persistence="persistStreamInit" r:id="rId1"/>
</file>

<file path=xl/activeX/activeX337.xml><?xml version="1.0" encoding="utf-8"?>
<ax:ocx xmlns:ax="http://schemas.microsoft.com/office/2006/activeX" xmlns:r="http://schemas.openxmlformats.org/officeDocument/2006/relationships" ax:classid="{8BD21D40-EC42-11CE-9E0D-00AA006002F3}" ax:persistence="persistStreamInit" r:id="rId1"/>
</file>

<file path=xl/activeX/activeX338.xml><?xml version="1.0" encoding="utf-8"?>
<ax:ocx xmlns:ax="http://schemas.microsoft.com/office/2006/activeX" xmlns:r="http://schemas.openxmlformats.org/officeDocument/2006/relationships" ax:classid="{8BD21D40-EC42-11CE-9E0D-00AA006002F3}" ax:persistence="persistStreamInit" r:id="rId1"/>
</file>

<file path=xl/activeX/activeX339.xml><?xml version="1.0" encoding="utf-8"?>
<ax:ocx xmlns:ax="http://schemas.microsoft.com/office/2006/activeX" xmlns:r="http://schemas.openxmlformats.org/officeDocument/2006/relationships" ax:classid="{8BD21D40-EC42-11CE-9E0D-00AA006002F3}" ax:persistence="persistStreamInit" r:id="rId1"/>
</file>

<file path=xl/activeX/activeX340.xml><?xml version="1.0" encoding="utf-8"?>
<ax:ocx xmlns:ax="http://schemas.microsoft.com/office/2006/activeX" xmlns:r="http://schemas.openxmlformats.org/officeDocument/2006/relationships" ax:classid="{8BD21D40-EC42-11CE-9E0D-00AA006002F3}" ax:persistence="persistStreamInit" r:id="rId1"/>
</file>

<file path=xl/activeX/activeX341.xml><?xml version="1.0" encoding="utf-8"?>
<ax:ocx xmlns:ax="http://schemas.microsoft.com/office/2006/activeX" xmlns:r="http://schemas.openxmlformats.org/officeDocument/2006/relationships" ax:classid="{8BD21D40-EC42-11CE-9E0D-00AA006002F3}" ax:persistence="persistStreamInit" r:id="rId1"/>
</file>

<file path=xl/activeX/activeX342.xml><?xml version="1.0" encoding="utf-8"?>
<ax:ocx xmlns:ax="http://schemas.microsoft.com/office/2006/activeX" xmlns:r="http://schemas.openxmlformats.org/officeDocument/2006/relationships" ax:classid="{8BD21D40-EC42-11CE-9E0D-00AA006002F3}" ax:persistence="persistStreamInit" r:id="rId1"/>
</file>

<file path=xl/activeX/activeX343.xml><?xml version="1.0" encoding="utf-8"?>
<ax:ocx xmlns:ax="http://schemas.microsoft.com/office/2006/activeX" xmlns:r="http://schemas.openxmlformats.org/officeDocument/2006/relationships" ax:classid="{8BD21D40-EC42-11CE-9E0D-00AA006002F3}" ax:persistence="persistStreamInit" r:id="rId1"/>
</file>

<file path=xl/activeX/activeX344.xml><?xml version="1.0" encoding="utf-8"?>
<ax:ocx xmlns:ax="http://schemas.microsoft.com/office/2006/activeX" xmlns:r="http://schemas.openxmlformats.org/officeDocument/2006/relationships" ax:classid="{8BD21D40-EC42-11CE-9E0D-00AA006002F3}" ax:persistence="persistStreamInit" r:id="rId1"/>
</file>

<file path=xl/activeX/activeX345.xml><?xml version="1.0" encoding="utf-8"?>
<ax:ocx xmlns:ax="http://schemas.microsoft.com/office/2006/activeX" xmlns:r="http://schemas.openxmlformats.org/officeDocument/2006/relationships" ax:classid="{8BD21D40-EC42-11CE-9E0D-00AA006002F3}" ax:persistence="persistStreamInit" r:id="rId1"/>
</file>

<file path=xl/activeX/activeX346.xml><?xml version="1.0" encoding="utf-8"?>
<ax:ocx xmlns:ax="http://schemas.microsoft.com/office/2006/activeX" xmlns:r="http://schemas.openxmlformats.org/officeDocument/2006/relationships" ax:classid="{8BD21D40-EC42-11CE-9E0D-00AA006002F3}" ax:persistence="persistStreamInit" r:id="rId1"/>
</file>

<file path=xl/activeX/activeX347.xml><?xml version="1.0" encoding="utf-8"?>
<ax:ocx xmlns:ax="http://schemas.microsoft.com/office/2006/activeX" xmlns:r="http://schemas.openxmlformats.org/officeDocument/2006/relationships" ax:classid="{8BD21D40-EC42-11CE-9E0D-00AA006002F3}" ax:persistence="persistStreamInit" r:id="rId1"/>
</file>

<file path=xl/activeX/activeX348.xml><?xml version="1.0" encoding="utf-8"?>
<ax:ocx xmlns:ax="http://schemas.microsoft.com/office/2006/activeX" xmlns:r="http://schemas.openxmlformats.org/officeDocument/2006/relationships" ax:classid="{8BD21D40-EC42-11CE-9E0D-00AA006002F3}" ax:persistence="persistStreamInit" r:id="rId1"/>
</file>

<file path=xl/activeX/activeX349.xml><?xml version="1.0" encoding="utf-8"?>
<ax:ocx xmlns:ax="http://schemas.microsoft.com/office/2006/activeX" xmlns:r="http://schemas.openxmlformats.org/officeDocument/2006/relationships" ax:classid="{8BD21D40-EC42-11CE-9E0D-00AA006002F3}" ax:persistence="persistStreamInit" r:id="rId1"/>
</file>

<file path=xl/activeX/activeX350.xml><?xml version="1.0" encoding="utf-8"?>
<ax:ocx xmlns:ax="http://schemas.microsoft.com/office/2006/activeX" xmlns:r="http://schemas.openxmlformats.org/officeDocument/2006/relationships" ax:classid="{8BD21D40-EC42-11CE-9E0D-00AA006002F3}" ax:persistence="persistStreamInit" r:id="rId1"/>
</file>

<file path=xl/activeX/activeX351.xml><?xml version="1.0" encoding="utf-8"?>
<ax:ocx xmlns:ax="http://schemas.microsoft.com/office/2006/activeX" xmlns:r="http://schemas.openxmlformats.org/officeDocument/2006/relationships" ax:classid="{8BD21D40-EC42-11CE-9E0D-00AA006002F3}" ax:persistence="persistStreamInit" r:id="rId1"/>
</file>

<file path=xl/activeX/activeX352.xml><?xml version="1.0" encoding="utf-8"?>
<ax:ocx xmlns:ax="http://schemas.microsoft.com/office/2006/activeX" xmlns:r="http://schemas.openxmlformats.org/officeDocument/2006/relationships" ax:classid="{8BD21D40-EC42-11CE-9E0D-00AA006002F3}" ax:persistence="persistStreamInit" r:id="rId1"/>
</file>

<file path=xl/activeX/activeX353.xml><?xml version="1.0" encoding="utf-8"?>
<ax:ocx xmlns:ax="http://schemas.microsoft.com/office/2006/activeX" xmlns:r="http://schemas.openxmlformats.org/officeDocument/2006/relationships" ax:classid="{8BD21D40-EC42-11CE-9E0D-00AA006002F3}" ax:persistence="persistStreamInit" r:id="rId1"/>
</file>

<file path=xl/activeX/activeX354.xml><?xml version="1.0" encoding="utf-8"?>
<ax:ocx xmlns:ax="http://schemas.microsoft.com/office/2006/activeX" xmlns:r="http://schemas.openxmlformats.org/officeDocument/2006/relationships" ax:classid="{8BD21D40-EC42-11CE-9E0D-00AA006002F3}" ax:persistence="persistStreamInit" r:id="rId1"/>
</file>

<file path=xl/activeX/activeX355.xml><?xml version="1.0" encoding="utf-8"?>
<ax:ocx xmlns:ax="http://schemas.microsoft.com/office/2006/activeX" xmlns:r="http://schemas.openxmlformats.org/officeDocument/2006/relationships" ax:classid="{8BD21D40-EC42-11CE-9E0D-00AA006002F3}" ax:persistence="persistStreamInit" r:id="rId1"/>
</file>

<file path=xl/activeX/activeX356.xml><?xml version="1.0" encoding="utf-8"?>
<ax:ocx xmlns:ax="http://schemas.microsoft.com/office/2006/activeX" xmlns:r="http://schemas.openxmlformats.org/officeDocument/2006/relationships" ax:classid="{8BD21D40-EC42-11CE-9E0D-00AA006002F3}" ax:persistence="persistStreamInit" r:id="rId1"/>
</file>

<file path=xl/activeX/activeX357.xml><?xml version="1.0" encoding="utf-8"?>
<ax:ocx xmlns:ax="http://schemas.microsoft.com/office/2006/activeX" xmlns:r="http://schemas.openxmlformats.org/officeDocument/2006/relationships" ax:classid="{8BD21D40-EC42-11CE-9E0D-00AA006002F3}" ax:persistence="persistStreamInit" r:id="rId1"/>
</file>

<file path=xl/activeX/activeX358.xml><?xml version="1.0" encoding="utf-8"?>
<ax:ocx xmlns:ax="http://schemas.microsoft.com/office/2006/activeX" xmlns:r="http://schemas.openxmlformats.org/officeDocument/2006/relationships" ax:classid="{8BD21D40-EC42-11CE-9E0D-00AA006002F3}" ax:persistence="persistStreamInit" r:id="rId1"/>
</file>

<file path=xl/activeX/activeX359.xml><?xml version="1.0" encoding="utf-8"?>
<ax:ocx xmlns:ax="http://schemas.microsoft.com/office/2006/activeX" xmlns:r="http://schemas.openxmlformats.org/officeDocument/2006/relationships" ax:classid="{8BD21D40-EC42-11CE-9E0D-00AA006002F3}" ax:persistence="persistStreamInit" r:id="rId1"/>
</file>

<file path=xl/activeX/activeX360.xml><?xml version="1.0" encoding="utf-8"?>
<ax:ocx xmlns:ax="http://schemas.microsoft.com/office/2006/activeX" xmlns:r="http://schemas.openxmlformats.org/officeDocument/2006/relationships" ax:classid="{8BD21D40-EC42-11CE-9E0D-00AA006002F3}" ax:persistence="persistStreamInit" r:id="rId1"/>
</file>

<file path=xl/activeX/activeX361.xml><?xml version="1.0" encoding="utf-8"?>
<ax:ocx xmlns:ax="http://schemas.microsoft.com/office/2006/activeX" xmlns:r="http://schemas.openxmlformats.org/officeDocument/2006/relationships" ax:classid="{8BD21D40-EC42-11CE-9E0D-00AA006002F3}" ax:persistence="persistStreamInit" r:id="rId1"/>
</file>

<file path=xl/activeX/activeX362.xml><?xml version="1.0" encoding="utf-8"?>
<ax:ocx xmlns:ax="http://schemas.microsoft.com/office/2006/activeX" xmlns:r="http://schemas.openxmlformats.org/officeDocument/2006/relationships" ax:classid="{8BD21D40-EC42-11CE-9E0D-00AA006002F3}" ax:persistence="persistStreamInit" r:id="rId1"/>
</file>

<file path=xl/activeX/activeX363.xml><?xml version="1.0" encoding="utf-8"?>
<ax:ocx xmlns:ax="http://schemas.microsoft.com/office/2006/activeX" xmlns:r="http://schemas.openxmlformats.org/officeDocument/2006/relationships" ax:classid="{8BD21D40-EC42-11CE-9E0D-00AA006002F3}" ax:persistence="persistStreamInit" r:id="rId1"/>
</file>

<file path=xl/activeX/activeX364.xml><?xml version="1.0" encoding="utf-8"?>
<ax:ocx xmlns:ax="http://schemas.microsoft.com/office/2006/activeX" xmlns:r="http://schemas.openxmlformats.org/officeDocument/2006/relationships" ax:classid="{8BD21D40-EC42-11CE-9E0D-00AA006002F3}" ax:persistence="persistStreamInit" r:id="rId1"/>
</file>

<file path=xl/activeX/activeX365.xml><?xml version="1.0" encoding="utf-8"?>
<ax:ocx xmlns:ax="http://schemas.microsoft.com/office/2006/activeX" xmlns:r="http://schemas.openxmlformats.org/officeDocument/2006/relationships" ax:classid="{8BD21D40-EC42-11CE-9E0D-00AA006002F3}" ax:persistence="persistStreamInit" r:id="rId1"/>
</file>

<file path=xl/activeX/activeX366.xml><?xml version="1.0" encoding="utf-8"?>
<ax:ocx xmlns:ax="http://schemas.microsoft.com/office/2006/activeX" xmlns:r="http://schemas.openxmlformats.org/officeDocument/2006/relationships" ax:classid="{8BD21D40-EC42-11CE-9E0D-00AA006002F3}" ax:persistence="persistStreamInit" r:id="rId1"/>
</file>

<file path=xl/activeX/activeX367.xml><?xml version="1.0" encoding="utf-8"?>
<ax:ocx xmlns:ax="http://schemas.microsoft.com/office/2006/activeX" xmlns:r="http://schemas.openxmlformats.org/officeDocument/2006/relationships" ax:classid="{8BD21D40-EC42-11CE-9E0D-00AA006002F3}" ax:persistence="persistStreamInit" r:id="rId1"/>
</file>

<file path=xl/activeX/activeX368.xml><?xml version="1.0" encoding="utf-8"?>
<ax:ocx xmlns:ax="http://schemas.microsoft.com/office/2006/activeX" xmlns:r="http://schemas.openxmlformats.org/officeDocument/2006/relationships" ax:classid="{8BD21D40-EC42-11CE-9E0D-00AA006002F3}" ax:persistence="persistStreamInit" r:id="rId1"/>
</file>

<file path=xl/activeX/activeX369.xml><?xml version="1.0" encoding="utf-8"?>
<ax:ocx xmlns:ax="http://schemas.microsoft.com/office/2006/activeX" xmlns:r="http://schemas.openxmlformats.org/officeDocument/2006/relationships" ax:classid="{8BD21D40-EC42-11CE-9E0D-00AA006002F3}" ax:persistence="persistStreamInit" r:id="rId1"/>
</file>

<file path=xl/activeX/activeX370.xml><?xml version="1.0" encoding="utf-8"?>
<ax:ocx xmlns:ax="http://schemas.microsoft.com/office/2006/activeX" xmlns:r="http://schemas.openxmlformats.org/officeDocument/2006/relationships" ax:classid="{8BD21D40-EC42-11CE-9E0D-00AA006002F3}" ax:persistence="persistStreamInit" r:id="rId1"/>
</file>

<file path=xl/activeX/activeX371.xml><?xml version="1.0" encoding="utf-8"?>
<ax:ocx xmlns:ax="http://schemas.microsoft.com/office/2006/activeX" xmlns:r="http://schemas.openxmlformats.org/officeDocument/2006/relationships" ax:classid="{8BD21D40-EC42-11CE-9E0D-00AA006002F3}" ax:persistence="persistStreamInit" r:id="rId1"/>
</file>

<file path=xl/activeX/activeX372.xml><?xml version="1.0" encoding="utf-8"?>
<ax:ocx xmlns:ax="http://schemas.microsoft.com/office/2006/activeX" xmlns:r="http://schemas.openxmlformats.org/officeDocument/2006/relationships" ax:classid="{8BD21D40-EC42-11CE-9E0D-00AA006002F3}" ax:persistence="persistStreamInit" r:id="rId1"/>
</file>

<file path=xl/activeX/activeX373.xml><?xml version="1.0" encoding="utf-8"?>
<ax:ocx xmlns:ax="http://schemas.microsoft.com/office/2006/activeX" xmlns:r="http://schemas.openxmlformats.org/officeDocument/2006/relationships" ax:classid="{8BD21D40-EC42-11CE-9E0D-00AA006002F3}" ax:persistence="persistStreamInit" r:id="rId1"/>
</file>

<file path=xl/activeX/activeX374.xml><?xml version="1.0" encoding="utf-8"?>
<ax:ocx xmlns:ax="http://schemas.microsoft.com/office/2006/activeX" xmlns:r="http://schemas.openxmlformats.org/officeDocument/2006/relationships" ax:classid="{8BD21D40-EC42-11CE-9E0D-00AA006002F3}" ax:persistence="persistStreamInit" r:id="rId1"/>
</file>

<file path=xl/activeX/activeX375.xml><?xml version="1.0" encoding="utf-8"?>
<ax:ocx xmlns:ax="http://schemas.microsoft.com/office/2006/activeX" xmlns:r="http://schemas.openxmlformats.org/officeDocument/2006/relationships" ax:classid="{8BD21D40-EC42-11CE-9E0D-00AA006002F3}" ax:persistence="persistStreamInit" r:id="rId1"/>
</file>

<file path=xl/activeX/activeX376.xml><?xml version="1.0" encoding="utf-8"?>
<ax:ocx xmlns:ax="http://schemas.microsoft.com/office/2006/activeX" xmlns:r="http://schemas.openxmlformats.org/officeDocument/2006/relationships" ax:classid="{8BD21D40-EC42-11CE-9E0D-00AA006002F3}" ax:persistence="persistStreamInit" r:id="rId1"/>
</file>

<file path=xl/activeX/activeX377.xml><?xml version="1.0" encoding="utf-8"?>
<ax:ocx xmlns:ax="http://schemas.microsoft.com/office/2006/activeX" xmlns:r="http://schemas.openxmlformats.org/officeDocument/2006/relationships" ax:classid="{8BD21D40-EC42-11CE-9E0D-00AA006002F3}" ax:persistence="persistStreamInit" r:id="rId1"/>
</file>

<file path=xl/activeX/activeX378.xml><?xml version="1.0" encoding="utf-8"?>
<ax:ocx xmlns:ax="http://schemas.microsoft.com/office/2006/activeX" xmlns:r="http://schemas.openxmlformats.org/officeDocument/2006/relationships" ax:classid="{8BD21D40-EC42-11CE-9E0D-00AA006002F3}" ax:persistence="persistStreamInit" r:id="rId1"/>
</file>

<file path=xl/activeX/activeX379.xml><?xml version="1.0" encoding="utf-8"?>
<ax:ocx xmlns:ax="http://schemas.microsoft.com/office/2006/activeX" xmlns:r="http://schemas.openxmlformats.org/officeDocument/2006/relationships" ax:classid="{8BD21D40-EC42-11CE-9E0D-00AA006002F3}" ax:persistence="persistStreamInit" r:id="rId1"/>
</file>

<file path=xl/activeX/activeX380.xml><?xml version="1.0" encoding="utf-8"?>
<ax:ocx xmlns:ax="http://schemas.microsoft.com/office/2006/activeX" xmlns:r="http://schemas.openxmlformats.org/officeDocument/2006/relationships" ax:classid="{8BD21D40-EC42-11CE-9E0D-00AA006002F3}" ax:persistence="persistStreamInit" r:id="rId1"/>
</file>

<file path=xl/activeX/activeX381.xml><?xml version="1.0" encoding="utf-8"?>
<ax:ocx xmlns:ax="http://schemas.microsoft.com/office/2006/activeX" xmlns:r="http://schemas.openxmlformats.org/officeDocument/2006/relationships" ax:classid="{8BD21D40-EC42-11CE-9E0D-00AA006002F3}" ax:persistence="persistStreamInit" r:id="rId1"/>
</file>

<file path=xl/activeX/activeX382.xml><?xml version="1.0" encoding="utf-8"?>
<ax:ocx xmlns:ax="http://schemas.microsoft.com/office/2006/activeX" xmlns:r="http://schemas.openxmlformats.org/officeDocument/2006/relationships" ax:classid="{8BD21D40-EC42-11CE-9E0D-00AA006002F3}" ax:persistence="persistStreamInit" r:id="rId1"/>
</file>

<file path=xl/activeX/activeX383.xml><?xml version="1.0" encoding="utf-8"?>
<ax:ocx xmlns:ax="http://schemas.microsoft.com/office/2006/activeX" xmlns:r="http://schemas.openxmlformats.org/officeDocument/2006/relationships" ax:classid="{8BD21D40-EC42-11CE-9E0D-00AA006002F3}" ax:persistence="persistStreamInit" r:id="rId1"/>
</file>

<file path=xl/activeX/activeX384.xml><?xml version="1.0" encoding="utf-8"?>
<ax:ocx xmlns:ax="http://schemas.microsoft.com/office/2006/activeX" xmlns:r="http://schemas.openxmlformats.org/officeDocument/2006/relationships" ax:classid="{8BD21D40-EC42-11CE-9E0D-00AA006002F3}" ax:persistence="persistStreamInit" r:id="rId1"/>
</file>

<file path=xl/activeX/activeX385.xml><?xml version="1.0" encoding="utf-8"?>
<ax:ocx xmlns:ax="http://schemas.microsoft.com/office/2006/activeX" xmlns:r="http://schemas.openxmlformats.org/officeDocument/2006/relationships" ax:classid="{8BD21D40-EC42-11CE-9E0D-00AA006002F3}" ax:persistence="persistStreamInit" r:id="rId1"/>
</file>

<file path=xl/activeX/activeX386.xml><?xml version="1.0" encoding="utf-8"?>
<ax:ocx xmlns:ax="http://schemas.microsoft.com/office/2006/activeX" xmlns:r="http://schemas.openxmlformats.org/officeDocument/2006/relationships" ax:classid="{8BD21D40-EC42-11CE-9E0D-00AA006002F3}" ax:persistence="persistStreamInit" r:id="rId1"/>
</file>

<file path=xl/activeX/activeX387.xml><?xml version="1.0" encoding="utf-8"?>
<ax:ocx xmlns:ax="http://schemas.microsoft.com/office/2006/activeX" xmlns:r="http://schemas.openxmlformats.org/officeDocument/2006/relationships" ax:classid="{8BD21D40-EC42-11CE-9E0D-00AA006002F3}" ax:persistence="persistStreamInit" r:id="rId1"/>
</file>

<file path=xl/activeX/activeX388.xml><?xml version="1.0" encoding="utf-8"?>
<ax:ocx xmlns:ax="http://schemas.microsoft.com/office/2006/activeX" xmlns:r="http://schemas.openxmlformats.org/officeDocument/2006/relationships" ax:classid="{8BD21D40-EC42-11CE-9E0D-00AA006002F3}" ax:persistence="persistStreamInit" r:id="rId1"/>
</file>

<file path=xl/activeX/activeX389.xml><?xml version="1.0" encoding="utf-8"?>
<ax:ocx xmlns:ax="http://schemas.microsoft.com/office/2006/activeX" xmlns:r="http://schemas.openxmlformats.org/officeDocument/2006/relationships" ax:classid="{8BD21D40-EC42-11CE-9E0D-00AA006002F3}" ax:persistence="persistStreamInit" r:id="rId1"/>
</file>

<file path=xl/activeX/activeX390.xml><?xml version="1.0" encoding="utf-8"?>
<ax:ocx xmlns:ax="http://schemas.microsoft.com/office/2006/activeX" xmlns:r="http://schemas.openxmlformats.org/officeDocument/2006/relationships" ax:classid="{8BD21D40-EC42-11CE-9E0D-00AA006002F3}" ax:persistence="persistStreamInit" r:id="rId1"/>
</file>

<file path=xl/activeX/activeX391.xml><?xml version="1.0" encoding="utf-8"?>
<ax:ocx xmlns:ax="http://schemas.microsoft.com/office/2006/activeX" xmlns:r="http://schemas.openxmlformats.org/officeDocument/2006/relationships" ax:classid="{8BD21D40-EC42-11CE-9E0D-00AA006002F3}" ax:persistence="persistStreamInit" r:id="rId1"/>
</file>

<file path=xl/activeX/activeX392.xml><?xml version="1.0" encoding="utf-8"?>
<ax:ocx xmlns:ax="http://schemas.microsoft.com/office/2006/activeX" xmlns:r="http://schemas.openxmlformats.org/officeDocument/2006/relationships" ax:classid="{8BD21D40-EC42-11CE-9E0D-00AA006002F3}" ax:persistence="persistStreamInit" r:id="rId1"/>
</file>

<file path=xl/activeX/activeX393.xml><?xml version="1.0" encoding="utf-8"?>
<ax:ocx xmlns:ax="http://schemas.microsoft.com/office/2006/activeX" xmlns:r="http://schemas.openxmlformats.org/officeDocument/2006/relationships" ax:classid="{8BD21D40-EC42-11CE-9E0D-00AA006002F3}" ax:persistence="persistStreamInit" r:id="rId1"/>
</file>

<file path=xl/activeX/activeX394.xml><?xml version="1.0" encoding="utf-8"?>
<ax:ocx xmlns:ax="http://schemas.microsoft.com/office/2006/activeX" xmlns:r="http://schemas.openxmlformats.org/officeDocument/2006/relationships" ax:classid="{8BD21D40-EC42-11CE-9E0D-00AA006002F3}" ax:persistence="persistStreamInit" r:id="rId1"/>
</file>

<file path=xl/activeX/activeX395.xml><?xml version="1.0" encoding="utf-8"?>
<ax:ocx xmlns:ax="http://schemas.microsoft.com/office/2006/activeX" xmlns:r="http://schemas.openxmlformats.org/officeDocument/2006/relationships" ax:classid="{8BD21D40-EC42-11CE-9E0D-00AA006002F3}" ax:persistence="persistStreamInit" r:id="rId1"/>
</file>

<file path=xl/activeX/activeX396.xml><?xml version="1.0" encoding="utf-8"?>
<ax:ocx xmlns:ax="http://schemas.microsoft.com/office/2006/activeX" xmlns:r="http://schemas.openxmlformats.org/officeDocument/2006/relationships" ax:classid="{8BD21D40-EC42-11CE-9E0D-00AA006002F3}" ax:persistence="persistStreamInit" r:id="rId1"/>
</file>

<file path=xl/activeX/activeX397.xml><?xml version="1.0" encoding="utf-8"?>
<ax:ocx xmlns:ax="http://schemas.microsoft.com/office/2006/activeX" xmlns:r="http://schemas.openxmlformats.org/officeDocument/2006/relationships" ax:classid="{8BD21D40-EC42-11CE-9E0D-00AA006002F3}" ax:persistence="persistStreamInit" r:id="rId1"/>
</file>

<file path=xl/activeX/activeX398.xml><?xml version="1.0" encoding="utf-8"?>
<ax:ocx xmlns:ax="http://schemas.microsoft.com/office/2006/activeX" xmlns:r="http://schemas.openxmlformats.org/officeDocument/2006/relationships" ax:classid="{8BD21D40-EC42-11CE-9E0D-00AA006002F3}" ax:persistence="persistStreamInit" r:id="rId1"/>
</file>

<file path=xl/activeX/activeX399.xml><?xml version="1.0" encoding="utf-8"?>
<ax:ocx xmlns:ax="http://schemas.microsoft.com/office/2006/activeX" xmlns:r="http://schemas.openxmlformats.org/officeDocument/2006/relationships" ax:classid="{8BD21D40-EC42-11CE-9E0D-00AA006002F3}" ax:persistence="persistStreamInit" r:id="rId1"/>
</file>

<file path=xl/activeX/activeX400.xml><?xml version="1.0" encoding="utf-8"?>
<ax:ocx xmlns:ax="http://schemas.microsoft.com/office/2006/activeX" xmlns:r="http://schemas.openxmlformats.org/officeDocument/2006/relationships" ax:classid="{8BD21D40-EC42-11CE-9E0D-00AA006002F3}" ax:persistence="persistStreamInit" r:id="rId1"/>
</file>

<file path=xl/activeX/activeX401.xml><?xml version="1.0" encoding="utf-8"?>
<ax:ocx xmlns:ax="http://schemas.microsoft.com/office/2006/activeX" xmlns:r="http://schemas.openxmlformats.org/officeDocument/2006/relationships" ax:classid="{8BD21D40-EC42-11CE-9E0D-00AA006002F3}" ax:persistence="persistStreamInit" r:id="rId1"/>
</file>

<file path=xl/activeX/activeX402.xml><?xml version="1.0" encoding="utf-8"?>
<ax:ocx xmlns:ax="http://schemas.microsoft.com/office/2006/activeX" xmlns:r="http://schemas.openxmlformats.org/officeDocument/2006/relationships" ax:classid="{8BD21D40-EC42-11CE-9E0D-00AA006002F3}" ax:persistence="persistStreamInit" r:id="rId1"/>
</file>

<file path=xl/activeX/activeX403.xml><?xml version="1.0" encoding="utf-8"?>
<ax:ocx xmlns:ax="http://schemas.microsoft.com/office/2006/activeX" xmlns:r="http://schemas.openxmlformats.org/officeDocument/2006/relationships" ax:classid="{8BD21D40-EC42-11CE-9E0D-00AA006002F3}" ax:persistence="persistStreamInit" r:id="rId1"/>
</file>

<file path=xl/activeX/activeX404.xml><?xml version="1.0" encoding="utf-8"?>
<ax:ocx xmlns:ax="http://schemas.microsoft.com/office/2006/activeX" xmlns:r="http://schemas.openxmlformats.org/officeDocument/2006/relationships" ax:classid="{8BD21D40-EC42-11CE-9E0D-00AA006002F3}" ax:persistence="persistStreamInit" r:id="rId1"/>
</file>

<file path=xl/activeX/activeX405.xml><?xml version="1.0" encoding="utf-8"?>
<ax:ocx xmlns:ax="http://schemas.microsoft.com/office/2006/activeX" xmlns:r="http://schemas.openxmlformats.org/officeDocument/2006/relationships" ax:classid="{8BD21D40-EC42-11CE-9E0D-00AA006002F3}" ax:persistence="persistStreamInit" r:id="rId1"/>
</file>

<file path=xl/activeX/activeX406.xml><?xml version="1.0" encoding="utf-8"?>
<ax:ocx xmlns:ax="http://schemas.microsoft.com/office/2006/activeX" xmlns:r="http://schemas.openxmlformats.org/officeDocument/2006/relationships" ax:classid="{8BD21D40-EC42-11CE-9E0D-00AA006002F3}" ax:persistence="persistStreamInit" r:id="rId1"/>
</file>

<file path=xl/activeX/activeX407.xml><?xml version="1.0" encoding="utf-8"?>
<ax:ocx xmlns:ax="http://schemas.microsoft.com/office/2006/activeX" xmlns:r="http://schemas.openxmlformats.org/officeDocument/2006/relationships" ax:classid="{8BD21D40-EC42-11CE-9E0D-00AA006002F3}" ax:persistence="persistStreamInit" r:id="rId1"/>
</file>

<file path=xl/activeX/activeX408.xml><?xml version="1.0" encoding="utf-8"?>
<ax:ocx xmlns:ax="http://schemas.microsoft.com/office/2006/activeX" xmlns:r="http://schemas.openxmlformats.org/officeDocument/2006/relationships" ax:classid="{8BD21D40-EC42-11CE-9E0D-00AA006002F3}" ax:persistence="persistStreamInit" r:id="rId1"/>
</file>

<file path=xl/activeX/activeX409.xml><?xml version="1.0" encoding="utf-8"?>
<ax:ocx xmlns:ax="http://schemas.microsoft.com/office/2006/activeX" xmlns:r="http://schemas.openxmlformats.org/officeDocument/2006/relationships" ax:classid="{8BD21D40-EC42-11CE-9E0D-00AA006002F3}" ax:persistence="persistStreamInit" r:id="rId1"/>
</file>

<file path=xl/activeX/activeX410.xml><?xml version="1.0" encoding="utf-8"?>
<ax:ocx xmlns:ax="http://schemas.microsoft.com/office/2006/activeX" xmlns:r="http://schemas.openxmlformats.org/officeDocument/2006/relationships" ax:classid="{8BD21D40-EC42-11CE-9E0D-00AA006002F3}" ax:persistence="persistStreamInit" r:id="rId1"/>
</file>

<file path=xl/activeX/activeX411.xml><?xml version="1.0" encoding="utf-8"?>
<ax:ocx xmlns:ax="http://schemas.microsoft.com/office/2006/activeX" xmlns:r="http://schemas.openxmlformats.org/officeDocument/2006/relationships" ax:classid="{8BD21D40-EC42-11CE-9E0D-00AA006002F3}" ax:persistence="persistStreamInit" r:id="rId1"/>
</file>

<file path=xl/activeX/activeX412.xml><?xml version="1.0" encoding="utf-8"?>
<ax:ocx xmlns:ax="http://schemas.microsoft.com/office/2006/activeX" xmlns:r="http://schemas.openxmlformats.org/officeDocument/2006/relationships" ax:classid="{8BD21D40-EC42-11CE-9E0D-00AA006002F3}" ax:persistence="persistStreamInit" r:id="rId1"/>
</file>

<file path=xl/activeX/activeX413.xml><?xml version="1.0" encoding="utf-8"?>
<ax:ocx xmlns:ax="http://schemas.microsoft.com/office/2006/activeX" xmlns:r="http://schemas.openxmlformats.org/officeDocument/2006/relationships" ax:classid="{8BD21D40-EC42-11CE-9E0D-00AA006002F3}" ax:persistence="persistStreamInit" r:id="rId1"/>
</file>

<file path=xl/activeX/activeX414.xml><?xml version="1.0" encoding="utf-8"?>
<ax:ocx xmlns:ax="http://schemas.microsoft.com/office/2006/activeX" xmlns:r="http://schemas.openxmlformats.org/officeDocument/2006/relationships" ax:classid="{8BD21D40-EC42-11CE-9E0D-00AA006002F3}" ax:persistence="persistStreamInit" r:id="rId1"/>
</file>

<file path=xl/activeX/activeX415.xml><?xml version="1.0" encoding="utf-8"?>
<ax:ocx xmlns:ax="http://schemas.microsoft.com/office/2006/activeX" xmlns:r="http://schemas.openxmlformats.org/officeDocument/2006/relationships" ax:classid="{8BD21D40-EC42-11CE-9E0D-00AA006002F3}" ax:persistence="persistStreamInit" r:id="rId1"/>
</file>

<file path=xl/activeX/activeX416.xml><?xml version="1.0" encoding="utf-8"?>
<ax:ocx xmlns:ax="http://schemas.microsoft.com/office/2006/activeX" xmlns:r="http://schemas.openxmlformats.org/officeDocument/2006/relationships" ax:classid="{8BD21D40-EC42-11CE-9E0D-00AA006002F3}" ax:persistence="persistStreamInit" r:id="rId1"/>
</file>

<file path=xl/activeX/activeX417.xml><?xml version="1.0" encoding="utf-8"?>
<ax:ocx xmlns:ax="http://schemas.microsoft.com/office/2006/activeX" xmlns:r="http://schemas.openxmlformats.org/officeDocument/2006/relationships" ax:classid="{8BD21D40-EC42-11CE-9E0D-00AA006002F3}" ax:persistence="persistStreamInit" r:id="rId1"/>
</file>

<file path=xl/activeX/activeX418.xml><?xml version="1.0" encoding="utf-8"?>
<ax:ocx xmlns:ax="http://schemas.microsoft.com/office/2006/activeX" xmlns:r="http://schemas.openxmlformats.org/officeDocument/2006/relationships" ax:classid="{8BD21D40-EC42-11CE-9E0D-00AA006002F3}" ax:persistence="persistStreamInit" r:id="rId1"/>
</file>

<file path=xl/activeX/activeX419.xml><?xml version="1.0" encoding="utf-8"?>
<ax:ocx xmlns:ax="http://schemas.microsoft.com/office/2006/activeX" xmlns:r="http://schemas.openxmlformats.org/officeDocument/2006/relationships" ax:classid="{8BD21D40-EC42-11CE-9E0D-00AA006002F3}" ax:persistence="persistStreamInit" r:id="rId1"/>
</file>

<file path=xl/activeX/activeX420.xml><?xml version="1.0" encoding="utf-8"?>
<ax:ocx xmlns:ax="http://schemas.microsoft.com/office/2006/activeX" xmlns:r="http://schemas.openxmlformats.org/officeDocument/2006/relationships" ax:classid="{8BD21D40-EC42-11CE-9E0D-00AA006002F3}" ax:persistence="persistStreamInit" r:id="rId1"/>
</file>

<file path=xl/activeX/activeX421.xml><?xml version="1.0" encoding="utf-8"?>
<ax:ocx xmlns:ax="http://schemas.microsoft.com/office/2006/activeX" xmlns:r="http://schemas.openxmlformats.org/officeDocument/2006/relationships" ax:classid="{8BD21D40-EC42-11CE-9E0D-00AA006002F3}" ax:persistence="persistStreamInit" r:id="rId1"/>
</file>

<file path=xl/activeX/activeX422.xml><?xml version="1.0" encoding="utf-8"?>
<ax:ocx xmlns:ax="http://schemas.microsoft.com/office/2006/activeX" xmlns:r="http://schemas.openxmlformats.org/officeDocument/2006/relationships" ax:classid="{8BD21D40-EC42-11CE-9E0D-00AA006002F3}" ax:persistence="persistStreamInit" r:id="rId1"/>
</file>

<file path=xl/activeX/activeX423.xml><?xml version="1.0" encoding="utf-8"?>
<ax:ocx xmlns:ax="http://schemas.microsoft.com/office/2006/activeX" xmlns:r="http://schemas.openxmlformats.org/officeDocument/2006/relationships" ax:classid="{8BD21D40-EC42-11CE-9E0D-00AA006002F3}" ax:persistence="persistStreamInit" r:id="rId1"/>
</file>

<file path=xl/activeX/activeX424.xml><?xml version="1.0" encoding="utf-8"?>
<ax:ocx xmlns:ax="http://schemas.microsoft.com/office/2006/activeX" xmlns:r="http://schemas.openxmlformats.org/officeDocument/2006/relationships" ax:classid="{8BD21D40-EC42-11CE-9E0D-00AA006002F3}" ax:persistence="persistStreamInit" r:id="rId1"/>
</file>

<file path=xl/activeX/activeX425.xml><?xml version="1.0" encoding="utf-8"?>
<ax:ocx xmlns:ax="http://schemas.microsoft.com/office/2006/activeX" xmlns:r="http://schemas.openxmlformats.org/officeDocument/2006/relationships" ax:classid="{8BD21D40-EC42-11CE-9E0D-00AA006002F3}" ax:persistence="persistStreamInit" r:id="rId1"/>
</file>

<file path=xl/activeX/activeX426.xml><?xml version="1.0" encoding="utf-8"?>
<ax:ocx xmlns:ax="http://schemas.microsoft.com/office/2006/activeX" xmlns:r="http://schemas.openxmlformats.org/officeDocument/2006/relationships" ax:classid="{8BD21D40-EC42-11CE-9E0D-00AA006002F3}" ax:persistence="persistStreamInit" r:id="rId1"/>
</file>

<file path=xl/activeX/activeX427.xml><?xml version="1.0" encoding="utf-8"?>
<ax:ocx xmlns:ax="http://schemas.microsoft.com/office/2006/activeX" xmlns:r="http://schemas.openxmlformats.org/officeDocument/2006/relationships" ax:classid="{8BD21D40-EC42-11CE-9E0D-00AA006002F3}" ax:persistence="persistStreamInit" r:id="rId1"/>
</file>

<file path=xl/activeX/activeX428.xml><?xml version="1.0" encoding="utf-8"?>
<ax:ocx xmlns:ax="http://schemas.microsoft.com/office/2006/activeX" xmlns:r="http://schemas.openxmlformats.org/officeDocument/2006/relationships" ax:classid="{8BD21D40-EC42-11CE-9E0D-00AA006002F3}" ax:persistence="persistStreamInit" r:id="rId1"/>
</file>

<file path=xl/activeX/activeX429.xml><?xml version="1.0" encoding="utf-8"?>
<ax:ocx xmlns:ax="http://schemas.microsoft.com/office/2006/activeX" xmlns:r="http://schemas.openxmlformats.org/officeDocument/2006/relationships" ax:classid="{8BD21D40-EC42-11CE-9E0D-00AA006002F3}" ax:persistence="persistStreamInit" r:id="rId1"/>
</file>

<file path=xl/activeX/activeX430.xml><?xml version="1.0" encoding="utf-8"?>
<ax:ocx xmlns:ax="http://schemas.microsoft.com/office/2006/activeX" xmlns:r="http://schemas.openxmlformats.org/officeDocument/2006/relationships" ax:classid="{8BD21D40-EC42-11CE-9E0D-00AA006002F3}" ax:persistence="persistStreamInit" r:id="rId1"/>
</file>

<file path=xl/activeX/activeX431.xml><?xml version="1.0" encoding="utf-8"?>
<ax:ocx xmlns:ax="http://schemas.microsoft.com/office/2006/activeX" xmlns:r="http://schemas.openxmlformats.org/officeDocument/2006/relationships" ax:classid="{8BD21D40-EC42-11CE-9E0D-00AA006002F3}" ax:persistence="persistStreamInit" r:id="rId1"/>
</file>

<file path=xl/activeX/activeX432.xml><?xml version="1.0" encoding="utf-8"?>
<ax:ocx xmlns:ax="http://schemas.microsoft.com/office/2006/activeX" xmlns:r="http://schemas.openxmlformats.org/officeDocument/2006/relationships" ax:classid="{8BD21D40-EC42-11CE-9E0D-00AA006002F3}" ax:persistence="persistStreamInit" r:id="rId1"/>
</file>

<file path=xl/activeX/activeX433.xml><?xml version="1.0" encoding="utf-8"?>
<ax:ocx xmlns:ax="http://schemas.microsoft.com/office/2006/activeX" xmlns:r="http://schemas.openxmlformats.org/officeDocument/2006/relationships" ax:classid="{8BD21D40-EC42-11CE-9E0D-00AA006002F3}" ax:persistence="persistStreamInit" r:id="rId1"/>
</file>

<file path=xl/activeX/activeX434.xml><?xml version="1.0" encoding="utf-8"?>
<ax:ocx xmlns:ax="http://schemas.microsoft.com/office/2006/activeX" xmlns:r="http://schemas.openxmlformats.org/officeDocument/2006/relationships" ax:classid="{8BD21D40-EC42-11CE-9E0D-00AA006002F3}" ax:persistence="persistStreamInit" r:id="rId1"/>
</file>

<file path=xl/activeX/activeX435.xml><?xml version="1.0" encoding="utf-8"?>
<ax:ocx xmlns:ax="http://schemas.microsoft.com/office/2006/activeX" xmlns:r="http://schemas.openxmlformats.org/officeDocument/2006/relationships" ax:classid="{8BD21D40-EC42-11CE-9E0D-00AA006002F3}" ax:persistence="persistStreamInit" r:id="rId1"/>
</file>

<file path=xl/activeX/activeX436.xml><?xml version="1.0" encoding="utf-8"?>
<ax:ocx xmlns:ax="http://schemas.microsoft.com/office/2006/activeX" xmlns:r="http://schemas.openxmlformats.org/officeDocument/2006/relationships" ax:classid="{8BD21D40-EC42-11CE-9E0D-00AA006002F3}" ax:persistence="persistStreamInit" r:id="rId1"/>
</file>

<file path=xl/activeX/activeX437.xml><?xml version="1.0" encoding="utf-8"?>
<ax:ocx xmlns:ax="http://schemas.microsoft.com/office/2006/activeX" xmlns:r="http://schemas.openxmlformats.org/officeDocument/2006/relationships" ax:classid="{8BD21D40-EC42-11CE-9E0D-00AA006002F3}" ax:persistence="persistStreamInit" r:id="rId1"/>
</file>

<file path=xl/activeX/activeX438.xml><?xml version="1.0" encoding="utf-8"?>
<ax:ocx xmlns:ax="http://schemas.microsoft.com/office/2006/activeX" xmlns:r="http://schemas.openxmlformats.org/officeDocument/2006/relationships" ax:classid="{8BD21D40-EC42-11CE-9E0D-00AA006002F3}" ax:persistence="persistStreamInit" r:id="rId1"/>
</file>

<file path=xl/activeX/activeX439.xml><?xml version="1.0" encoding="utf-8"?>
<ax:ocx xmlns:ax="http://schemas.microsoft.com/office/2006/activeX" xmlns:r="http://schemas.openxmlformats.org/officeDocument/2006/relationships" ax:classid="{8BD21D40-EC42-11CE-9E0D-00AA006002F3}" ax:persistence="persistStreamInit" r:id="rId1"/>
</file>

<file path=xl/activeX/activeX440.xml><?xml version="1.0" encoding="utf-8"?>
<ax:ocx xmlns:ax="http://schemas.microsoft.com/office/2006/activeX" xmlns:r="http://schemas.openxmlformats.org/officeDocument/2006/relationships" ax:classid="{8BD21D40-EC42-11CE-9E0D-00AA006002F3}" ax:persistence="persistStreamInit" r:id="rId1"/>
</file>

<file path=xl/activeX/activeX441.xml><?xml version="1.0" encoding="utf-8"?>
<ax:ocx xmlns:ax="http://schemas.microsoft.com/office/2006/activeX" xmlns:r="http://schemas.openxmlformats.org/officeDocument/2006/relationships" ax:classid="{8BD21D40-EC42-11CE-9E0D-00AA006002F3}" ax:persistence="persistStreamInit" r:id="rId1"/>
</file>

<file path=xl/activeX/activeX442.xml><?xml version="1.0" encoding="utf-8"?>
<ax:ocx xmlns:ax="http://schemas.microsoft.com/office/2006/activeX" xmlns:r="http://schemas.openxmlformats.org/officeDocument/2006/relationships" ax:classid="{8BD21D40-EC42-11CE-9E0D-00AA006002F3}" ax:persistence="persistStreamInit" r:id="rId1"/>
</file>

<file path=xl/activeX/activeX443.xml><?xml version="1.0" encoding="utf-8"?>
<ax:ocx xmlns:ax="http://schemas.microsoft.com/office/2006/activeX" xmlns:r="http://schemas.openxmlformats.org/officeDocument/2006/relationships" ax:classid="{8BD21D40-EC42-11CE-9E0D-00AA006002F3}" ax:persistence="persistStreamInit" r:id="rId1"/>
</file>

<file path=xl/activeX/activeX444.xml><?xml version="1.0" encoding="utf-8"?>
<ax:ocx xmlns:ax="http://schemas.microsoft.com/office/2006/activeX" xmlns:r="http://schemas.openxmlformats.org/officeDocument/2006/relationships" ax:classid="{8BD21D40-EC42-11CE-9E0D-00AA006002F3}" ax:persistence="persistStreamInit" r:id="rId1"/>
</file>

<file path=xl/activeX/activeX445.xml><?xml version="1.0" encoding="utf-8"?>
<ax:ocx xmlns:ax="http://schemas.microsoft.com/office/2006/activeX" xmlns:r="http://schemas.openxmlformats.org/officeDocument/2006/relationships" ax:classid="{8BD21D40-EC42-11CE-9E0D-00AA006002F3}" ax:persistence="persistStreamInit" r:id="rId1"/>
</file>

<file path=xl/activeX/activeX446.xml><?xml version="1.0" encoding="utf-8"?>
<ax:ocx xmlns:ax="http://schemas.microsoft.com/office/2006/activeX" xmlns:r="http://schemas.openxmlformats.org/officeDocument/2006/relationships" ax:classid="{8BD21D40-EC42-11CE-9E0D-00AA006002F3}" ax:persistence="persistStreamInit" r:id="rId1"/>
</file>

<file path=xl/activeX/activeX447.xml><?xml version="1.0" encoding="utf-8"?>
<ax:ocx xmlns:ax="http://schemas.microsoft.com/office/2006/activeX" xmlns:r="http://schemas.openxmlformats.org/officeDocument/2006/relationships" ax:classid="{8BD21D40-EC42-11CE-9E0D-00AA006002F3}" ax:persistence="persistStreamInit" r:id="rId1"/>
</file>

<file path=xl/activeX/activeX448.xml><?xml version="1.0" encoding="utf-8"?>
<ax:ocx xmlns:ax="http://schemas.microsoft.com/office/2006/activeX" xmlns:r="http://schemas.openxmlformats.org/officeDocument/2006/relationships" ax:classid="{8BD21D40-EC42-11CE-9E0D-00AA006002F3}" ax:persistence="persistStreamInit" r:id="rId1"/>
</file>

<file path=xl/activeX/activeX449.xml><?xml version="1.0" encoding="utf-8"?>
<ax:ocx xmlns:ax="http://schemas.microsoft.com/office/2006/activeX" xmlns:r="http://schemas.openxmlformats.org/officeDocument/2006/relationships" ax:classid="{8BD21D40-EC42-11CE-9E0D-00AA006002F3}" ax:persistence="persistStreamInit" r:id="rId1"/>
</file>

<file path=xl/activeX/activeX450.xml><?xml version="1.0" encoding="utf-8"?>
<ax:ocx xmlns:ax="http://schemas.microsoft.com/office/2006/activeX" xmlns:r="http://schemas.openxmlformats.org/officeDocument/2006/relationships" ax:classid="{8BD21D40-EC42-11CE-9E0D-00AA006002F3}" ax:persistence="persistStreamInit" r:id="rId1"/>
</file>

<file path=xl/activeX/activeX451.xml><?xml version="1.0" encoding="utf-8"?>
<ax:ocx xmlns:ax="http://schemas.microsoft.com/office/2006/activeX" xmlns:r="http://schemas.openxmlformats.org/officeDocument/2006/relationships" ax:classid="{8BD21D40-EC42-11CE-9E0D-00AA006002F3}" ax:persistence="persistStreamInit" r:id="rId1"/>
</file>

<file path=xl/activeX/activeX452.xml><?xml version="1.0" encoding="utf-8"?>
<ax:ocx xmlns:ax="http://schemas.microsoft.com/office/2006/activeX" xmlns:r="http://schemas.openxmlformats.org/officeDocument/2006/relationships" ax:classid="{8BD21D40-EC42-11CE-9E0D-00AA006002F3}" ax:persistence="persistStreamInit" r:id="rId1"/>
</file>

<file path=xl/activeX/activeX453.xml><?xml version="1.0" encoding="utf-8"?>
<ax:ocx xmlns:ax="http://schemas.microsoft.com/office/2006/activeX" xmlns:r="http://schemas.openxmlformats.org/officeDocument/2006/relationships" ax:classid="{8BD21D40-EC42-11CE-9E0D-00AA006002F3}" ax:persistence="persistStreamInit" r:id="rId1"/>
</file>

<file path=xl/activeX/activeX454.xml><?xml version="1.0" encoding="utf-8"?>
<ax:ocx xmlns:ax="http://schemas.microsoft.com/office/2006/activeX" xmlns:r="http://schemas.openxmlformats.org/officeDocument/2006/relationships" ax:classid="{8BD21D40-EC42-11CE-9E0D-00AA006002F3}" ax:persistence="persistStreamInit" r:id="rId1"/>
</file>

<file path=xl/activeX/activeX455.xml><?xml version="1.0" encoding="utf-8"?>
<ax:ocx xmlns:ax="http://schemas.microsoft.com/office/2006/activeX" xmlns:r="http://schemas.openxmlformats.org/officeDocument/2006/relationships" ax:classid="{8BD21D40-EC42-11CE-9E0D-00AA006002F3}" ax:persistence="persistStreamInit" r:id="rId1"/>
</file>

<file path=xl/activeX/activeX456.xml><?xml version="1.0" encoding="utf-8"?>
<ax:ocx xmlns:ax="http://schemas.microsoft.com/office/2006/activeX" xmlns:r="http://schemas.openxmlformats.org/officeDocument/2006/relationships" ax:classid="{8BD21D40-EC42-11CE-9E0D-00AA006002F3}" ax:persistence="persistStreamInit" r:id="rId1"/>
</file>

<file path=xl/activeX/activeX457.xml><?xml version="1.0" encoding="utf-8"?>
<ax:ocx xmlns:ax="http://schemas.microsoft.com/office/2006/activeX" xmlns:r="http://schemas.openxmlformats.org/officeDocument/2006/relationships" ax:classid="{8BD21D40-EC42-11CE-9E0D-00AA006002F3}" ax:persistence="persistStreamInit" r:id="rId1"/>
</file>

<file path=xl/activeX/activeX458.xml><?xml version="1.0" encoding="utf-8"?>
<ax:ocx xmlns:ax="http://schemas.microsoft.com/office/2006/activeX" xmlns:r="http://schemas.openxmlformats.org/officeDocument/2006/relationships" ax:classid="{8BD21D40-EC42-11CE-9E0D-00AA006002F3}" ax:persistence="persistStreamInit" r:id="rId1"/>
</file>

<file path=xl/activeX/activeX459.xml><?xml version="1.0" encoding="utf-8"?>
<ax:ocx xmlns:ax="http://schemas.microsoft.com/office/2006/activeX" xmlns:r="http://schemas.openxmlformats.org/officeDocument/2006/relationships" ax:classid="{8BD21D40-EC42-11CE-9E0D-00AA006002F3}" ax:persistence="persistStreamInit" r:id="rId1"/>
</file>

<file path=xl/activeX/activeX460.xml><?xml version="1.0" encoding="utf-8"?>
<ax:ocx xmlns:ax="http://schemas.microsoft.com/office/2006/activeX" xmlns:r="http://schemas.openxmlformats.org/officeDocument/2006/relationships" ax:classid="{8BD21D40-EC42-11CE-9E0D-00AA006002F3}" ax:persistence="persistStreamInit" r:id="rId1"/>
</file>

<file path=xl/activeX/activeX461.xml><?xml version="1.0" encoding="utf-8"?>
<ax:ocx xmlns:ax="http://schemas.microsoft.com/office/2006/activeX" xmlns:r="http://schemas.openxmlformats.org/officeDocument/2006/relationships" ax:classid="{8BD21D40-EC42-11CE-9E0D-00AA006002F3}" ax:persistence="persistStreamInit" r:id="rId1"/>
</file>

<file path=xl/activeX/activeX462.xml><?xml version="1.0" encoding="utf-8"?>
<ax:ocx xmlns:ax="http://schemas.microsoft.com/office/2006/activeX" xmlns:r="http://schemas.openxmlformats.org/officeDocument/2006/relationships" ax:classid="{8BD21D40-EC42-11CE-9E0D-00AA006002F3}" ax:persistence="persistStreamInit" r:id="rId1"/>
</file>

<file path=xl/activeX/activeX463.xml><?xml version="1.0" encoding="utf-8"?>
<ax:ocx xmlns:ax="http://schemas.microsoft.com/office/2006/activeX" xmlns:r="http://schemas.openxmlformats.org/officeDocument/2006/relationships" ax:classid="{8BD21D40-EC42-11CE-9E0D-00AA006002F3}" ax:persistence="persistStreamInit" r:id="rId1"/>
</file>

<file path=xl/activeX/activeX464.xml><?xml version="1.0" encoding="utf-8"?>
<ax:ocx xmlns:ax="http://schemas.microsoft.com/office/2006/activeX" xmlns:r="http://schemas.openxmlformats.org/officeDocument/2006/relationships" ax:classid="{8BD21D40-EC42-11CE-9E0D-00AA006002F3}" ax:persistence="persistStreamInit" r:id="rId1"/>
</file>

<file path=xl/activeX/activeX465.xml><?xml version="1.0" encoding="utf-8"?>
<ax:ocx xmlns:ax="http://schemas.microsoft.com/office/2006/activeX" xmlns:r="http://schemas.openxmlformats.org/officeDocument/2006/relationships" ax:classid="{8BD21D40-EC42-11CE-9E0D-00AA006002F3}" ax:persistence="persistStreamInit" r:id="rId1"/>
</file>

<file path=xl/activeX/activeX466.xml><?xml version="1.0" encoding="utf-8"?>
<ax:ocx xmlns:ax="http://schemas.microsoft.com/office/2006/activeX" xmlns:r="http://schemas.openxmlformats.org/officeDocument/2006/relationships" ax:classid="{8BD21D40-EC42-11CE-9E0D-00AA006002F3}" ax:persistence="persistStreamInit" r:id="rId1"/>
</file>

<file path=xl/activeX/activeX467.xml><?xml version="1.0" encoding="utf-8"?>
<ax:ocx xmlns:ax="http://schemas.microsoft.com/office/2006/activeX" xmlns:r="http://schemas.openxmlformats.org/officeDocument/2006/relationships" ax:classid="{8BD21D40-EC42-11CE-9E0D-00AA006002F3}" ax:persistence="persistStreamInit" r:id="rId1"/>
</file>

<file path=xl/activeX/activeX468.xml><?xml version="1.0" encoding="utf-8"?>
<ax:ocx xmlns:ax="http://schemas.microsoft.com/office/2006/activeX" xmlns:r="http://schemas.openxmlformats.org/officeDocument/2006/relationships" ax:classid="{8BD21D40-EC42-11CE-9E0D-00AA006002F3}" ax:persistence="persistStreamInit" r:id="rId1"/>
</file>

<file path=xl/activeX/activeX469.xml><?xml version="1.0" encoding="utf-8"?>
<ax:ocx xmlns:ax="http://schemas.microsoft.com/office/2006/activeX" xmlns:r="http://schemas.openxmlformats.org/officeDocument/2006/relationships" ax:classid="{8BD21D40-EC42-11CE-9E0D-00AA006002F3}" ax:persistence="persistStreamInit" r:id="rId1"/>
</file>

<file path=xl/activeX/activeX470.xml><?xml version="1.0" encoding="utf-8"?>
<ax:ocx xmlns:ax="http://schemas.microsoft.com/office/2006/activeX" xmlns:r="http://schemas.openxmlformats.org/officeDocument/2006/relationships" ax:classid="{8BD21D40-EC42-11CE-9E0D-00AA006002F3}" ax:persistence="persistStreamInit" r:id="rId1"/>
</file>

<file path=xl/activeX/activeX471.xml><?xml version="1.0" encoding="utf-8"?>
<ax:ocx xmlns:ax="http://schemas.microsoft.com/office/2006/activeX" xmlns:r="http://schemas.openxmlformats.org/officeDocument/2006/relationships" ax:classid="{8BD21D40-EC42-11CE-9E0D-00AA006002F3}" ax:persistence="persistStreamInit" r:id="rId1"/>
</file>

<file path=xl/activeX/activeX472.xml><?xml version="1.0" encoding="utf-8"?>
<ax:ocx xmlns:ax="http://schemas.microsoft.com/office/2006/activeX" xmlns:r="http://schemas.openxmlformats.org/officeDocument/2006/relationships" ax:classid="{8BD21D40-EC42-11CE-9E0D-00AA006002F3}" ax:persistence="persistStreamInit" r:id="rId1"/>
</file>

<file path=xl/activeX/activeX473.xml><?xml version="1.0" encoding="utf-8"?>
<ax:ocx xmlns:ax="http://schemas.microsoft.com/office/2006/activeX" xmlns:r="http://schemas.openxmlformats.org/officeDocument/2006/relationships" ax:classid="{8BD21D40-EC42-11CE-9E0D-00AA006002F3}" ax:persistence="persistStreamInit" r:id="rId1"/>
</file>

<file path=xl/activeX/activeX474.xml><?xml version="1.0" encoding="utf-8"?>
<ax:ocx xmlns:ax="http://schemas.microsoft.com/office/2006/activeX" xmlns:r="http://schemas.openxmlformats.org/officeDocument/2006/relationships" ax:classid="{8BD21D40-EC42-11CE-9E0D-00AA006002F3}" ax:persistence="persistStreamInit" r:id="rId1"/>
</file>

<file path=xl/activeX/activeX475.xml><?xml version="1.0" encoding="utf-8"?>
<ax:ocx xmlns:ax="http://schemas.microsoft.com/office/2006/activeX" xmlns:r="http://schemas.openxmlformats.org/officeDocument/2006/relationships" ax:classid="{8BD21D40-EC42-11CE-9E0D-00AA006002F3}" ax:persistence="persistStreamInit" r:id="rId1"/>
</file>

<file path=xl/activeX/activeX476.xml><?xml version="1.0" encoding="utf-8"?>
<ax:ocx xmlns:ax="http://schemas.microsoft.com/office/2006/activeX" xmlns:r="http://schemas.openxmlformats.org/officeDocument/2006/relationships" ax:classid="{8BD21D40-EC42-11CE-9E0D-00AA006002F3}" ax:persistence="persistStreamInit" r:id="rId1"/>
</file>

<file path=xl/activeX/activeX477.xml><?xml version="1.0" encoding="utf-8"?>
<ax:ocx xmlns:ax="http://schemas.microsoft.com/office/2006/activeX" xmlns:r="http://schemas.openxmlformats.org/officeDocument/2006/relationships" ax:classid="{8BD21D40-EC42-11CE-9E0D-00AA006002F3}" ax:persistence="persistStreamInit" r:id="rId1"/>
</file>

<file path=xl/activeX/activeX478.xml><?xml version="1.0" encoding="utf-8"?>
<ax:ocx xmlns:ax="http://schemas.microsoft.com/office/2006/activeX" xmlns:r="http://schemas.openxmlformats.org/officeDocument/2006/relationships" ax:classid="{8BD21D40-EC42-11CE-9E0D-00AA006002F3}" ax:persistence="persistStreamInit" r:id="rId1"/>
</file>

<file path=xl/activeX/activeX479.xml><?xml version="1.0" encoding="utf-8"?>
<ax:ocx xmlns:ax="http://schemas.microsoft.com/office/2006/activeX" xmlns:r="http://schemas.openxmlformats.org/officeDocument/2006/relationships" ax:classid="{8BD21D40-EC42-11CE-9E0D-00AA006002F3}" ax:persistence="persistStreamInit" r:id="rId1"/>
</file>

<file path=xl/activeX/activeX480.xml><?xml version="1.0" encoding="utf-8"?>
<ax:ocx xmlns:ax="http://schemas.microsoft.com/office/2006/activeX" xmlns:r="http://schemas.openxmlformats.org/officeDocument/2006/relationships" ax:classid="{8BD21D40-EC42-11CE-9E0D-00AA006002F3}" ax:persistence="persistStreamInit" r:id="rId1"/>
</file>

<file path=xl/activeX/activeX481.xml><?xml version="1.0" encoding="utf-8"?>
<ax:ocx xmlns:ax="http://schemas.microsoft.com/office/2006/activeX" xmlns:r="http://schemas.openxmlformats.org/officeDocument/2006/relationships" ax:classid="{8BD21D40-EC42-11CE-9E0D-00AA006002F3}" ax:persistence="persistStreamInit" r:id="rId1"/>
</file>

<file path=xl/activeX/activeX482.xml><?xml version="1.0" encoding="utf-8"?>
<ax:ocx xmlns:ax="http://schemas.microsoft.com/office/2006/activeX" xmlns:r="http://schemas.openxmlformats.org/officeDocument/2006/relationships" ax:classid="{8BD21D40-EC42-11CE-9E0D-00AA006002F3}" ax:persistence="persistStreamInit" r:id="rId1"/>
</file>

<file path=xl/activeX/activeX483.xml><?xml version="1.0" encoding="utf-8"?>
<ax:ocx xmlns:ax="http://schemas.microsoft.com/office/2006/activeX" xmlns:r="http://schemas.openxmlformats.org/officeDocument/2006/relationships" ax:classid="{8BD21D40-EC42-11CE-9E0D-00AA006002F3}" ax:persistence="persistStreamInit" r:id="rId1"/>
</file>

<file path=xl/activeX/activeX484.xml><?xml version="1.0" encoding="utf-8"?>
<ax:ocx xmlns:ax="http://schemas.microsoft.com/office/2006/activeX" xmlns:r="http://schemas.openxmlformats.org/officeDocument/2006/relationships" ax:classid="{8BD21D40-EC42-11CE-9E0D-00AA006002F3}" ax:persistence="persistStreamInit" r:id="rId1"/>
</file>

<file path=xl/activeX/activeX485.xml><?xml version="1.0" encoding="utf-8"?>
<ax:ocx xmlns:ax="http://schemas.microsoft.com/office/2006/activeX" xmlns:r="http://schemas.openxmlformats.org/officeDocument/2006/relationships" ax:classid="{8BD21D40-EC42-11CE-9E0D-00AA006002F3}" ax:persistence="persistStreamInit" r:id="rId1"/>
</file>

<file path=xl/activeX/activeX486.xml><?xml version="1.0" encoding="utf-8"?>
<ax:ocx xmlns:ax="http://schemas.microsoft.com/office/2006/activeX" xmlns:r="http://schemas.openxmlformats.org/officeDocument/2006/relationships" ax:classid="{8BD21D40-EC42-11CE-9E0D-00AA006002F3}" ax:persistence="persistStreamInit" r:id="rId1"/>
</file>

<file path=xl/activeX/activeX487.xml><?xml version="1.0" encoding="utf-8"?>
<ax:ocx xmlns:ax="http://schemas.microsoft.com/office/2006/activeX" xmlns:r="http://schemas.openxmlformats.org/officeDocument/2006/relationships" ax:classid="{8BD21D40-EC42-11CE-9E0D-00AA006002F3}" ax:persistence="persistStreamInit" r:id="rId1"/>
</file>

<file path=xl/activeX/activeX488.xml><?xml version="1.0" encoding="utf-8"?>
<ax:ocx xmlns:ax="http://schemas.microsoft.com/office/2006/activeX" xmlns:r="http://schemas.openxmlformats.org/officeDocument/2006/relationships" ax:classid="{8BD21D40-EC42-11CE-9E0D-00AA006002F3}" ax:persistence="persistStreamInit" r:id="rId1"/>
</file>

<file path=xl/activeX/activeX489.xml><?xml version="1.0" encoding="utf-8"?>
<ax:ocx xmlns:ax="http://schemas.microsoft.com/office/2006/activeX" xmlns:r="http://schemas.openxmlformats.org/officeDocument/2006/relationships" ax:classid="{8BD21D40-EC42-11CE-9E0D-00AA006002F3}" ax:persistence="persistStreamInit" r:id="rId1"/>
</file>

<file path=xl/activeX/activeX490.xml><?xml version="1.0" encoding="utf-8"?>
<ax:ocx xmlns:ax="http://schemas.microsoft.com/office/2006/activeX" xmlns:r="http://schemas.openxmlformats.org/officeDocument/2006/relationships" ax:classid="{8BD21D40-EC42-11CE-9E0D-00AA006002F3}" ax:persistence="persistStreamInit" r:id="rId1"/>
</file>

<file path=xl/activeX/activeX491.xml><?xml version="1.0" encoding="utf-8"?>
<ax:ocx xmlns:ax="http://schemas.microsoft.com/office/2006/activeX" xmlns:r="http://schemas.openxmlformats.org/officeDocument/2006/relationships" ax:classid="{8BD21D40-EC42-11CE-9E0D-00AA006002F3}" ax:persistence="persistStreamInit" r:id="rId1"/>
</file>

<file path=xl/activeX/activeX492.xml><?xml version="1.0" encoding="utf-8"?>
<ax:ocx xmlns:ax="http://schemas.microsoft.com/office/2006/activeX" xmlns:r="http://schemas.openxmlformats.org/officeDocument/2006/relationships" ax:classid="{8BD21D40-EC42-11CE-9E0D-00AA006002F3}" ax:persistence="persistStreamInit" r:id="rId1"/>
</file>

<file path=xl/activeX/activeX493.xml><?xml version="1.0" encoding="utf-8"?>
<ax:ocx xmlns:ax="http://schemas.microsoft.com/office/2006/activeX" xmlns:r="http://schemas.openxmlformats.org/officeDocument/2006/relationships" ax:classid="{8BD21D40-EC42-11CE-9E0D-00AA006002F3}" ax:persistence="persistStreamInit" r:id="rId1"/>
</file>

<file path=xl/activeX/activeX494.xml><?xml version="1.0" encoding="utf-8"?>
<ax:ocx xmlns:ax="http://schemas.microsoft.com/office/2006/activeX" xmlns:r="http://schemas.openxmlformats.org/officeDocument/2006/relationships" ax:classid="{8BD21D40-EC42-11CE-9E0D-00AA006002F3}" ax:persistence="persistStreamInit" r:id="rId1"/>
</file>

<file path=xl/activeX/activeX495.xml><?xml version="1.0" encoding="utf-8"?>
<ax:ocx xmlns:ax="http://schemas.microsoft.com/office/2006/activeX" xmlns:r="http://schemas.openxmlformats.org/officeDocument/2006/relationships" ax:classid="{8BD21D40-EC42-11CE-9E0D-00AA006002F3}" ax:persistence="persistStreamInit" r:id="rId1"/>
</file>

<file path=xl/activeX/activeX496.xml><?xml version="1.0" encoding="utf-8"?>
<ax:ocx xmlns:ax="http://schemas.microsoft.com/office/2006/activeX" xmlns:r="http://schemas.openxmlformats.org/officeDocument/2006/relationships" ax:classid="{8BD21D40-EC42-11CE-9E0D-00AA006002F3}" ax:persistence="persistStreamInit" r:id="rId1"/>
</file>

<file path=xl/activeX/activeX497.xml><?xml version="1.0" encoding="utf-8"?>
<ax:ocx xmlns:ax="http://schemas.microsoft.com/office/2006/activeX" xmlns:r="http://schemas.openxmlformats.org/officeDocument/2006/relationships" ax:classid="{8BD21D40-EC42-11CE-9E0D-00AA006002F3}" ax:persistence="persistStreamInit" r:id="rId1"/>
</file>

<file path=xl/activeX/activeX498.xml><?xml version="1.0" encoding="utf-8"?>
<ax:ocx xmlns:ax="http://schemas.microsoft.com/office/2006/activeX" xmlns:r="http://schemas.openxmlformats.org/officeDocument/2006/relationships" ax:classid="{8BD21D40-EC42-11CE-9E0D-00AA006002F3}" ax:persistence="persistStreamInit" r:id="rId1"/>
</file>

<file path=xl/activeX/activeX499.xml><?xml version="1.0" encoding="utf-8"?>
<ax:ocx xmlns:ax="http://schemas.microsoft.com/office/2006/activeX" xmlns:r="http://schemas.openxmlformats.org/officeDocument/2006/relationships" ax:classid="{8BD21D40-EC42-11CE-9E0D-00AA006002F3}" ax:persistence="persistStreamInit" r:id="rId1"/>
</file>

<file path=xl/activeX/activeX500.xml><?xml version="1.0" encoding="utf-8"?>
<ax:ocx xmlns:ax="http://schemas.microsoft.com/office/2006/activeX" xmlns:r="http://schemas.openxmlformats.org/officeDocument/2006/relationships" ax:classid="{8BD21D40-EC42-11CE-9E0D-00AA006002F3}" ax:persistence="persistStreamInit" r:id="rId1"/>
</file>

<file path=xl/activeX/activeX501.xml><?xml version="1.0" encoding="utf-8"?>
<ax:ocx xmlns:ax="http://schemas.microsoft.com/office/2006/activeX" xmlns:r="http://schemas.openxmlformats.org/officeDocument/2006/relationships" ax:classid="{8BD21D40-EC42-11CE-9E0D-00AA006002F3}" ax:persistence="persistStreamInit" r:id="rId1"/>
</file>

<file path=xl/activeX/activeX502.xml><?xml version="1.0" encoding="utf-8"?>
<ax:ocx xmlns:ax="http://schemas.microsoft.com/office/2006/activeX" xmlns:r="http://schemas.openxmlformats.org/officeDocument/2006/relationships" ax:classid="{8BD21D40-EC42-11CE-9E0D-00AA006002F3}" ax:persistence="persistStreamInit" r:id="rId1"/>
</file>

<file path=xl/activeX/activeX503.xml><?xml version="1.0" encoding="utf-8"?>
<ax:ocx xmlns:ax="http://schemas.microsoft.com/office/2006/activeX" xmlns:r="http://schemas.openxmlformats.org/officeDocument/2006/relationships" ax:classid="{8BD21D40-EC42-11CE-9E0D-00AA006002F3}" ax:persistence="persistStreamInit" r:id="rId1"/>
</file>

<file path=xl/activeX/activeX504.xml><?xml version="1.0" encoding="utf-8"?>
<ax:ocx xmlns:ax="http://schemas.microsoft.com/office/2006/activeX" xmlns:r="http://schemas.openxmlformats.org/officeDocument/2006/relationships" ax:classid="{8BD21D40-EC42-11CE-9E0D-00AA006002F3}" ax:persistence="persistStreamInit" r:id="rId1"/>
</file>

<file path=xl/activeX/activeX505.xml><?xml version="1.0" encoding="utf-8"?>
<ax:ocx xmlns:ax="http://schemas.microsoft.com/office/2006/activeX" xmlns:r="http://schemas.openxmlformats.org/officeDocument/2006/relationships" ax:classid="{8BD21D40-EC42-11CE-9E0D-00AA006002F3}" ax:persistence="persistStreamInit" r:id="rId1"/>
</file>

<file path=xl/activeX/activeX506.xml><?xml version="1.0" encoding="utf-8"?>
<ax:ocx xmlns:ax="http://schemas.microsoft.com/office/2006/activeX" xmlns:r="http://schemas.openxmlformats.org/officeDocument/2006/relationships" ax:classid="{8BD21D40-EC42-11CE-9E0D-00AA006002F3}" ax:persistence="persistStreamInit" r:id="rId1"/>
</file>

<file path=xl/activeX/activeX507.xml><?xml version="1.0" encoding="utf-8"?>
<ax:ocx xmlns:ax="http://schemas.microsoft.com/office/2006/activeX" xmlns:r="http://schemas.openxmlformats.org/officeDocument/2006/relationships" ax:classid="{8BD21D40-EC42-11CE-9E0D-00AA006002F3}" ax:persistence="persistStreamInit" r:id="rId1"/>
</file>

<file path=xl/activeX/activeX508.xml><?xml version="1.0" encoding="utf-8"?>
<ax:ocx xmlns:ax="http://schemas.microsoft.com/office/2006/activeX" xmlns:r="http://schemas.openxmlformats.org/officeDocument/2006/relationships" ax:classid="{8BD21D40-EC42-11CE-9E0D-00AA006002F3}" ax:persistence="persistStreamInit" r:id="rId1"/>
</file>

<file path=xl/activeX/activeX509.xml><?xml version="1.0" encoding="utf-8"?>
<ax:ocx xmlns:ax="http://schemas.microsoft.com/office/2006/activeX" xmlns:r="http://schemas.openxmlformats.org/officeDocument/2006/relationships" ax:classid="{8BD21D40-EC42-11CE-9E0D-00AA006002F3}" ax:persistence="persistStreamInit" r:id="rId1"/>
</file>

<file path=xl/activeX/activeX510.xml><?xml version="1.0" encoding="utf-8"?>
<ax:ocx xmlns:ax="http://schemas.microsoft.com/office/2006/activeX" xmlns:r="http://schemas.openxmlformats.org/officeDocument/2006/relationships" ax:classid="{8BD21D40-EC42-11CE-9E0D-00AA006002F3}" ax:persistence="persistStreamInit" r:id="rId1"/>
</file>

<file path=xl/activeX/activeX511.xml><?xml version="1.0" encoding="utf-8"?>
<ax:ocx xmlns:ax="http://schemas.microsoft.com/office/2006/activeX" xmlns:r="http://schemas.openxmlformats.org/officeDocument/2006/relationships" ax:classid="{8BD21D40-EC42-11CE-9E0D-00AA006002F3}" ax:persistence="persistStreamInit" r:id="rId1"/>
</file>

<file path=xl/activeX/activeX512.xml><?xml version="1.0" encoding="utf-8"?>
<ax:ocx xmlns:ax="http://schemas.microsoft.com/office/2006/activeX" xmlns:r="http://schemas.openxmlformats.org/officeDocument/2006/relationships" ax:classid="{8BD21D40-EC42-11CE-9E0D-00AA006002F3}" ax:persistence="persistStreamInit" r:id="rId1"/>
</file>

<file path=xl/activeX/activeX513.xml><?xml version="1.0" encoding="utf-8"?>
<ax:ocx xmlns:ax="http://schemas.microsoft.com/office/2006/activeX" xmlns:r="http://schemas.openxmlformats.org/officeDocument/2006/relationships" ax:classid="{8BD21D40-EC42-11CE-9E0D-00AA006002F3}" ax:persistence="persistStreamInit" r:id="rId1"/>
</file>

<file path=xl/activeX/activeX514.xml><?xml version="1.0" encoding="utf-8"?>
<ax:ocx xmlns:ax="http://schemas.microsoft.com/office/2006/activeX" xmlns:r="http://schemas.openxmlformats.org/officeDocument/2006/relationships" ax:classid="{8BD21D40-EC42-11CE-9E0D-00AA006002F3}" ax:persistence="persistStreamInit" r:id="rId1"/>
</file>

<file path=xl/activeX/activeX515.xml><?xml version="1.0" encoding="utf-8"?>
<ax:ocx xmlns:ax="http://schemas.microsoft.com/office/2006/activeX" xmlns:r="http://schemas.openxmlformats.org/officeDocument/2006/relationships" ax:classid="{8BD21D40-EC42-11CE-9E0D-00AA006002F3}" ax:persistence="persistStreamInit" r:id="rId1"/>
</file>

<file path=xl/activeX/activeX516.xml><?xml version="1.0" encoding="utf-8"?>
<ax:ocx xmlns:ax="http://schemas.microsoft.com/office/2006/activeX" xmlns:r="http://schemas.openxmlformats.org/officeDocument/2006/relationships" ax:classid="{8BD21D40-EC42-11CE-9E0D-00AA006002F3}" ax:persistence="persistStreamInit" r:id="rId1"/>
</file>

<file path=xl/activeX/activeX517.xml><?xml version="1.0" encoding="utf-8"?>
<ax:ocx xmlns:ax="http://schemas.microsoft.com/office/2006/activeX" xmlns:r="http://schemas.openxmlformats.org/officeDocument/2006/relationships" ax:classid="{8BD21D40-EC42-11CE-9E0D-00AA006002F3}" ax:persistence="persistStreamInit" r:id="rId1"/>
</file>

<file path=xl/activeX/activeX518.xml><?xml version="1.0" encoding="utf-8"?>
<ax:ocx xmlns:ax="http://schemas.microsoft.com/office/2006/activeX" xmlns:r="http://schemas.openxmlformats.org/officeDocument/2006/relationships" ax:classid="{8BD21D40-EC42-11CE-9E0D-00AA006002F3}" ax:persistence="persistStreamInit" r:id="rId1"/>
</file>

<file path=xl/activeX/activeX519.xml><?xml version="1.0" encoding="utf-8"?>
<ax:ocx xmlns:ax="http://schemas.microsoft.com/office/2006/activeX" xmlns:r="http://schemas.openxmlformats.org/officeDocument/2006/relationships" ax:classid="{8BD21D40-EC42-11CE-9E0D-00AA006002F3}" ax:persistence="persistStreamInit" r:id="rId1"/>
</file>

<file path=xl/activeX/activeX520.xml><?xml version="1.0" encoding="utf-8"?>
<ax:ocx xmlns:ax="http://schemas.microsoft.com/office/2006/activeX" xmlns:r="http://schemas.openxmlformats.org/officeDocument/2006/relationships" ax:classid="{8BD21D40-EC42-11CE-9E0D-00AA006002F3}" ax:persistence="persistStreamInit" r:id="rId1"/>
</file>

<file path=xl/activeX/activeX521.xml><?xml version="1.0" encoding="utf-8"?>
<ax:ocx xmlns:ax="http://schemas.microsoft.com/office/2006/activeX" xmlns:r="http://schemas.openxmlformats.org/officeDocument/2006/relationships" ax:classid="{8BD21D40-EC42-11CE-9E0D-00AA006002F3}" ax:persistence="persistStreamInit" r:id="rId1"/>
</file>

<file path=xl/activeX/activeX522.xml><?xml version="1.0" encoding="utf-8"?>
<ax:ocx xmlns:ax="http://schemas.microsoft.com/office/2006/activeX" xmlns:r="http://schemas.openxmlformats.org/officeDocument/2006/relationships" ax:classid="{8BD21D40-EC42-11CE-9E0D-00AA006002F3}" ax:persistence="persistStreamInit" r:id="rId1"/>
</file>

<file path=xl/activeX/activeX523.xml><?xml version="1.0" encoding="utf-8"?>
<ax:ocx xmlns:ax="http://schemas.microsoft.com/office/2006/activeX" xmlns:r="http://schemas.openxmlformats.org/officeDocument/2006/relationships" ax:classid="{8BD21D40-EC42-11CE-9E0D-00AA006002F3}" ax:persistence="persistStreamInit" r:id="rId1"/>
</file>

<file path=xl/activeX/activeX524.xml><?xml version="1.0" encoding="utf-8"?>
<ax:ocx xmlns:ax="http://schemas.microsoft.com/office/2006/activeX" xmlns:r="http://schemas.openxmlformats.org/officeDocument/2006/relationships" ax:classid="{8BD21D40-EC42-11CE-9E0D-00AA006002F3}" ax:persistence="persistStreamInit" r:id="rId1"/>
</file>

<file path=xl/activeX/activeX525.xml><?xml version="1.0" encoding="utf-8"?>
<ax:ocx xmlns:ax="http://schemas.microsoft.com/office/2006/activeX" xmlns:r="http://schemas.openxmlformats.org/officeDocument/2006/relationships" ax:classid="{8BD21D40-EC42-11CE-9E0D-00AA006002F3}" ax:persistence="persistStreamInit" r:id="rId1"/>
</file>

<file path=xl/activeX/activeX526.xml><?xml version="1.0" encoding="utf-8"?>
<ax:ocx xmlns:ax="http://schemas.microsoft.com/office/2006/activeX" xmlns:r="http://schemas.openxmlformats.org/officeDocument/2006/relationships" ax:classid="{8BD21D40-EC42-11CE-9E0D-00AA006002F3}" ax:persistence="persistStreamInit" r:id="rId1"/>
</file>

<file path=xl/activeX/activeX527.xml><?xml version="1.0" encoding="utf-8"?>
<ax:ocx xmlns:ax="http://schemas.microsoft.com/office/2006/activeX" xmlns:r="http://schemas.openxmlformats.org/officeDocument/2006/relationships" ax:classid="{8BD21D40-EC42-11CE-9E0D-00AA006002F3}" ax:persistence="persistStreamInit" r:id="rId1"/>
</file>

<file path=xl/activeX/activeX528.xml><?xml version="1.0" encoding="utf-8"?>
<ax:ocx xmlns:ax="http://schemas.microsoft.com/office/2006/activeX" xmlns:r="http://schemas.openxmlformats.org/officeDocument/2006/relationships" ax:classid="{8BD21D40-EC42-11CE-9E0D-00AA006002F3}" ax:persistence="persistStreamInit" r:id="rId1"/>
</file>

<file path=xl/activeX/activeX529.xml><?xml version="1.0" encoding="utf-8"?>
<ax:ocx xmlns:ax="http://schemas.microsoft.com/office/2006/activeX" xmlns:r="http://schemas.openxmlformats.org/officeDocument/2006/relationships" ax:classid="{8BD21D40-EC42-11CE-9E0D-00AA006002F3}" ax:persistence="persistStreamInit" r:id="rId1"/>
</file>

<file path=xl/activeX/activeX530.xml><?xml version="1.0" encoding="utf-8"?>
<ax:ocx xmlns:ax="http://schemas.microsoft.com/office/2006/activeX" xmlns:r="http://schemas.openxmlformats.org/officeDocument/2006/relationships" ax:classid="{8BD21D40-EC42-11CE-9E0D-00AA006002F3}" ax:persistence="persistStreamInit" r:id="rId1"/>
</file>

<file path=xl/activeX/activeX531.xml><?xml version="1.0" encoding="utf-8"?>
<ax:ocx xmlns:ax="http://schemas.microsoft.com/office/2006/activeX" xmlns:r="http://schemas.openxmlformats.org/officeDocument/2006/relationships" ax:classid="{8BD21D40-EC42-11CE-9E0D-00AA006002F3}" ax:persistence="persistStreamInit" r:id="rId1"/>
</file>

<file path=xl/activeX/activeX532.xml><?xml version="1.0" encoding="utf-8"?>
<ax:ocx xmlns:ax="http://schemas.microsoft.com/office/2006/activeX" xmlns:r="http://schemas.openxmlformats.org/officeDocument/2006/relationships" ax:classid="{8BD21D40-EC42-11CE-9E0D-00AA006002F3}" ax:persistence="persistStreamInit" r:id="rId1"/>
</file>

<file path=xl/activeX/activeX533.xml><?xml version="1.0" encoding="utf-8"?>
<ax:ocx xmlns:ax="http://schemas.microsoft.com/office/2006/activeX" xmlns:r="http://schemas.openxmlformats.org/officeDocument/2006/relationships" ax:classid="{8BD21D40-EC42-11CE-9E0D-00AA006002F3}" ax:persistence="persistStreamInit" r:id="rId1"/>
</file>

<file path=xl/activeX/activeX534.xml><?xml version="1.0" encoding="utf-8"?>
<ax:ocx xmlns:ax="http://schemas.microsoft.com/office/2006/activeX" xmlns:r="http://schemas.openxmlformats.org/officeDocument/2006/relationships" ax:classid="{8BD21D40-EC42-11CE-9E0D-00AA006002F3}" ax:persistence="persistStreamInit" r:id="rId1"/>
</file>

<file path=xl/activeX/activeX535.xml><?xml version="1.0" encoding="utf-8"?>
<ax:ocx xmlns:ax="http://schemas.microsoft.com/office/2006/activeX" xmlns:r="http://schemas.openxmlformats.org/officeDocument/2006/relationships" ax:classid="{8BD21D40-EC42-11CE-9E0D-00AA006002F3}" ax:persistence="persistStreamInit" r:id="rId1"/>
</file>

<file path=xl/activeX/activeX536.xml><?xml version="1.0" encoding="utf-8"?>
<ax:ocx xmlns:ax="http://schemas.microsoft.com/office/2006/activeX" xmlns:r="http://schemas.openxmlformats.org/officeDocument/2006/relationships" ax:classid="{8BD21D40-EC42-11CE-9E0D-00AA006002F3}" ax:persistence="persistStreamInit" r:id="rId1"/>
</file>

<file path=xl/activeX/activeX537.xml><?xml version="1.0" encoding="utf-8"?>
<ax:ocx xmlns:ax="http://schemas.microsoft.com/office/2006/activeX" xmlns:r="http://schemas.openxmlformats.org/officeDocument/2006/relationships" ax:classid="{8BD21D40-EC42-11CE-9E0D-00AA006002F3}" ax:persistence="persistStreamInit" r:id="rId1"/>
</file>

<file path=xl/activeX/activeX538.xml><?xml version="1.0" encoding="utf-8"?>
<ax:ocx xmlns:ax="http://schemas.microsoft.com/office/2006/activeX" xmlns:r="http://schemas.openxmlformats.org/officeDocument/2006/relationships" ax:classid="{8BD21D40-EC42-11CE-9E0D-00AA006002F3}" ax:persistence="persistStreamInit" r:id="rId1"/>
</file>

<file path=xl/activeX/activeX539.xml><?xml version="1.0" encoding="utf-8"?>
<ax:ocx xmlns:ax="http://schemas.microsoft.com/office/2006/activeX" xmlns:r="http://schemas.openxmlformats.org/officeDocument/2006/relationships" ax:classid="{8BD21D40-EC42-11CE-9E0D-00AA006002F3}" ax:persistence="persistStreamInit" r:id="rId1"/>
</file>

<file path=xl/activeX/activeX540.xml><?xml version="1.0" encoding="utf-8"?>
<ax:ocx xmlns:ax="http://schemas.microsoft.com/office/2006/activeX" xmlns:r="http://schemas.openxmlformats.org/officeDocument/2006/relationships" ax:classid="{8BD21D40-EC42-11CE-9E0D-00AA006002F3}" ax:persistence="persistStreamInit" r:id="rId1"/>
</file>

<file path=xl/activeX/activeX541.xml><?xml version="1.0" encoding="utf-8"?>
<ax:ocx xmlns:ax="http://schemas.microsoft.com/office/2006/activeX" xmlns:r="http://schemas.openxmlformats.org/officeDocument/2006/relationships" ax:classid="{8BD21D40-EC42-11CE-9E0D-00AA006002F3}" ax:persistence="persistStreamInit" r:id="rId1"/>
</file>

<file path=xl/activeX/activeX542.xml><?xml version="1.0" encoding="utf-8"?>
<ax:ocx xmlns:ax="http://schemas.microsoft.com/office/2006/activeX" xmlns:r="http://schemas.openxmlformats.org/officeDocument/2006/relationships" ax:classid="{8BD21D40-EC42-11CE-9E0D-00AA006002F3}" ax:persistence="persistStreamInit" r:id="rId1"/>
</file>

<file path=xl/activeX/activeX543.xml><?xml version="1.0" encoding="utf-8"?>
<ax:ocx xmlns:ax="http://schemas.microsoft.com/office/2006/activeX" xmlns:r="http://schemas.openxmlformats.org/officeDocument/2006/relationships" ax:classid="{8BD21D40-EC42-11CE-9E0D-00AA006002F3}" ax:persistence="persistStreamInit" r:id="rId1"/>
</file>

<file path=xl/activeX/activeX544.xml><?xml version="1.0" encoding="utf-8"?>
<ax:ocx xmlns:ax="http://schemas.microsoft.com/office/2006/activeX" xmlns:r="http://schemas.openxmlformats.org/officeDocument/2006/relationships" ax:classid="{8BD21D40-EC42-11CE-9E0D-00AA006002F3}" ax:persistence="persistStreamInit" r:id="rId1"/>
</file>

<file path=xl/activeX/activeX545.xml><?xml version="1.0" encoding="utf-8"?>
<ax:ocx xmlns:ax="http://schemas.microsoft.com/office/2006/activeX" xmlns:r="http://schemas.openxmlformats.org/officeDocument/2006/relationships" ax:classid="{8BD21D40-EC42-11CE-9E0D-00AA006002F3}" ax:persistence="persistStreamInit" r:id="rId1"/>
</file>

<file path=xl/activeX/activeX546.xml><?xml version="1.0" encoding="utf-8"?>
<ax:ocx xmlns:ax="http://schemas.microsoft.com/office/2006/activeX" xmlns:r="http://schemas.openxmlformats.org/officeDocument/2006/relationships" ax:classid="{8BD21D40-EC42-11CE-9E0D-00AA006002F3}" ax:persistence="persistStreamInit" r:id="rId1"/>
</file>

<file path=xl/activeX/activeX547.xml><?xml version="1.0" encoding="utf-8"?>
<ax:ocx xmlns:ax="http://schemas.microsoft.com/office/2006/activeX" xmlns:r="http://schemas.openxmlformats.org/officeDocument/2006/relationships" ax:classid="{8BD21D40-EC42-11CE-9E0D-00AA006002F3}" ax:persistence="persistStreamInit" r:id="rId1"/>
</file>

<file path=xl/activeX/activeX548.xml><?xml version="1.0" encoding="utf-8"?>
<ax:ocx xmlns:ax="http://schemas.microsoft.com/office/2006/activeX" xmlns:r="http://schemas.openxmlformats.org/officeDocument/2006/relationships" ax:classid="{8BD21D40-EC42-11CE-9E0D-00AA006002F3}" ax:persistence="persistStreamInit" r:id="rId1"/>
</file>

<file path=xl/activeX/activeX549.xml><?xml version="1.0" encoding="utf-8"?>
<ax:ocx xmlns:ax="http://schemas.microsoft.com/office/2006/activeX" xmlns:r="http://schemas.openxmlformats.org/officeDocument/2006/relationships" ax:classid="{8BD21D40-EC42-11CE-9E0D-00AA006002F3}" ax:persistence="persistStreamInit" r:id="rId1"/>
</file>

<file path=xl/activeX/activeX550.xml><?xml version="1.0" encoding="utf-8"?>
<ax:ocx xmlns:ax="http://schemas.microsoft.com/office/2006/activeX" xmlns:r="http://schemas.openxmlformats.org/officeDocument/2006/relationships" ax:classid="{8BD21D40-EC42-11CE-9E0D-00AA006002F3}" ax:persistence="persistStreamInit" r:id="rId1"/>
</file>

<file path=xl/activeX/activeX551.xml><?xml version="1.0" encoding="utf-8"?>
<ax:ocx xmlns:ax="http://schemas.microsoft.com/office/2006/activeX" xmlns:r="http://schemas.openxmlformats.org/officeDocument/2006/relationships" ax:classid="{8BD21D40-EC42-11CE-9E0D-00AA006002F3}" ax:persistence="persistStreamInit" r:id="rId1"/>
</file>

<file path=xl/activeX/activeX552.xml><?xml version="1.0" encoding="utf-8"?>
<ax:ocx xmlns:ax="http://schemas.microsoft.com/office/2006/activeX" xmlns:r="http://schemas.openxmlformats.org/officeDocument/2006/relationships" ax:classid="{8BD21D40-EC42-11CE-9E0D-00AA006002F3}" ax:persistence="persistStreamInit" r:id="rId1"/>
</file>

<file path=xl/activeX/activeX553.xml><?xml version="1.0" encoding="utf-8"?>
<ax:ocx xmlns:ax="http://schemas.microsoft.com/office/2006/activeX" xmlns:r="http://schemas.openxmlformats.org/officeDocument/2006/relationships" ax:classid="{8BD21D40-EC42-11CE-9E0D-00AA006002F3}" ax:persistence="persistStreamInit" r:id="rId1"/>
</file>

<file path=xl/activeX/activeX554.xml><?xml version="1.0" encoding="utf-8"?>
<ax:ocx xmlns:ax="http://schemas.microsoft.com/office/2006/activeX" xmlns:r="http://schemas.openxmlformats.org/officeDocument/2006/relationships" ax:classid="{8BD21D40-EC42-11CE-9E0D-00AA006002F3}" ax:persistence="persistStreamInit" r:id="rId1"/>
</file>

<file path=xl/activeX/activeX555.xml><?xml version="1.0" encoding="utf-8"?>
<ax:ocx xmlns:ax="http://schemas.microsoft.com/office/2006/activeX" xmlns:r="http://schemas.openxmlformats.org/officeDocument/2006/relationships" ax:classid="{8BD21D40-EC42-11CE-9E0D-00AA006002F3}" ax:persistence="persistStreamInit" r:id="rId1"/>
</file>

<file path=xl/activeX/activeX556.xml><?xml version="1.0" encoding="utf-8"?>
<ax:ocx xmlns:ax="http://schemas.microsoft.com/office/2006/activeX" xmlns:r="http://schemas.openxmlformats.org/officeDocument/2006/relationships" ax:classid="{8BD21D40-EC42-11CE-9E0D-00AA006002F3}" ax:persistence="persistStreamInit" r:id="rId1"/>
</file>

<file path=xl/activeX/activeX557.xml><?xml version="1.0" encoding="utf-8"?>
<ax:ocx xmlns:ax="http://schemas.microsoft.com/office/2006/activeX" xmlns:r="http://schemas.openxmlformats.org/officeDocument/2006/relationships" ax:classid="{8BD21D40-EC42-11CE-9E0D-00AA006002F3}" ax:persistence="persistStreamInit" r:id="rId1"/>
</file>

<file path=xl/activeX/activeX558.xml><?xml version="1.0" encoding="utf-8"?>
<ax:ocx xmlns:ax="http://schemas.microsoft.com/office/2006/activeX" xmlns:r="http://schemas.openxmlformats.org/officeDocument/2006/relationships" ax:classid="{8BD21D40-EC42-11CE-9E0D-00AA006002F3}" ax:persistence="persistStreamInit" r:id="rId1"/>
</file>

<file path=xl/activeX/activeX559.xml><?xml version="1.0" encoding="utf-8"?>
<ax:ocx xmlns:ax="http://schemas.microsoft.com/office/2006/activeX" xmlns:r="http://schemas.openxmlformats.org/officeDocument/2006/relationships" ax:classid="{8BD21D40-EC42-11CE-9E0D-00AA006002F3}" ax:persistence="persistStreamInit" r:id="rId1"/>
</file>

<file path=xl/activeX/activeX560.xml><?xml version="1.0" encoding="utf-8"?>
<ax:ocx xmlns:ax="http://schemas.microsoft.com/office/2006/activeX" xmlns:r="http://schemas.openxmlformats.org/officeDocument/2006/relationships" ax:classid="{8BD21D40-EC42-11CE-9E0D-00AA006002F3}" ax:persistence="persistStreamInit" r:id="rId1"/>
</file>

<file path=xl/activeX/activeX561.xml><?xml version="1.0" encoding="utf-8"?>
<ax:ocx xmlns:ax="http://schemas.microsoft.com/office/2006/activeX" xmlns:r="http://schemas.openxmlformats.org/officeDocument/2006/relationships" ax:classid="{8BD21D40-EC42-11CE-9E0D-00AA006002F3}" ax:persistence="persistStreamInit" r:id="rId1"/>
</file>

<file path=xl/activeX/activeX562.xml><?xml version="1.0" encoding="utf-8"?>
<ax:ocx xmlns:ax="http://schemas.microsoft.com/office/2006/activeX" xmlns:r="http://schemas.openxmlformats.org/officeDocument/2006/relationships" ax:classid="{8BD21D40-EC42-11CE-9E0D-00AA006002F3}" ax:persistence="persistStreamInit" r:id="rId1"/>
</file>

<file path=xl/activeX/activeX563.xml><?xml version="1.0" encoding="utf-8"?>
<ax:ocx xmlns:ax="http://schemas.microsoft.com/office/2006/activeX" xmlns:r="http://schemas.openxmlformats.org/officeDocument/2006/relationships" ax:classid="{8BD21D40-EC42-11CE-9E0D-00AA006002F3}" ax:persistence="persistStreamInit" r:id="rId1"/>
</file>

<file path=xl/activeX/activeX564.xml><?xml version="1.0" encoding="utf-8"?>
<ax:ocx xmlns:ax="http://schemas.microsoft.com/office/2006/activeX" xmlns:r="http://schemas.openxmlformats.org/officeDocument/2006/relationships" ax:classid="{8BD21D40-EC42-11CE-9E0D-00AA006002F3}" ax:persistence="persistStreamInit" r:id="rId1"/>
</file>

<file path=xl/activeX/activeX565.xml><?xml version="1.0" encoding="utf-8"?>
<ax:ocx xmlns:ax="http://schemas.microsoft.com/office/2006/activeX" xmlns:r="http://schemas.openxmlformats.org/officeDocument/2006/relationships" ax:classid="{8BD21D40-EC42-11CE-9E0D-00AA006002F3}" ax:persistence="persistStreamInit" r:id="rId1"/>
</file>

<file path=xl/activeX/activeX566.xml><?xml version="1.0" encoding="utf-8"?>
<ax:ocx xmlns:ax="http://schemas.microsoft.com/office/2006/activeX" xmlns:r="http://schemas.openxmlformats.org/officeDocument/2006/relationships" ax:classid="{8BD21D40-EC42-11CE-9E0D-00AA006002F3}" ax:persistence="persistStreamInit" r:id="rId1"/>
</file>

<file path=xl/activeX/activeX567.xml><?xml version="1.0" encoding="utf-8"?>
<ax:ocx xmlns:ax="http://schemas.microsoft.com/office/2006/activeX" xmlns:r="http://schemas.openxmlformats.org/officeDocument/2006/relationships" ax:classid="{8BD21D40-EC42-11CE-9E0D-00AA006002F3}" ax:persistence="persistStreamInit" r:id="rId1"/>
</file>

<file path=xl/activeX/activeX568.xml><?xml version="1.0" encoding="utf-8"?>
<ax:ocx xmlns:ax="http://schemas.microsoft.com/office/2006/activeX" xmlns:r="http://schemas.openxmlformats.org/officeDocument/2006/relationships" ax:classid="{8BD21D40-EC42-11CE-9E0D-00AA006002F3}" ax:persistence="persistStreamInit" r:id="rId1"/>
</file>

<file path=xl/activeX/activeX569.xml><?xml version="1.0" encoding="utf-8"?>
<ax:ocx xmlns:ax="http://schemas.microsoft.com/office/2006/activeX" xmlns:r="http://schemas.openxmlformats.org/officeDocument/2006/relationships" ax:classid="{8BD21D40-EC42-11CE-9E0D-00AA006002F3}" ax:persistence="persistStreamInit" r:id="rId1"/>
</file>

<file path=xl/activeX/activeX570.xml><?xml version="1.0" encoding="utf-8"?>
<ax:ocx xmlns:ax="http://schemas.microsoft.com/office/2006/activeX" xmlns:r="http://schemas.openxmlformats.org/officeDocument/2006/relationships" ax:classid="{8BD21D40-EC42-11CE-9E0D-00AA006002F3}" ax:persistence="persistStreamInit" r:id="rId1"/>
</file>

<file path=xl/activeX/activeX571.xml><?xml version="1.0" encoding="utf-8"?>
<ax:ocx xmlns:ax="http://schemas.microsoft.com/office/2006/activeX" xmlns:r="http://schemas.openxmlformats.org/officeDocument/2006/relationships" ax:classid="{8BD21D40-EC42-11CE-9E0D-00AA006002F3}" ax:persistence="persistStreamInit" r:id="rId1"/>
</file>

<file path=xl/activeX/activeX572.xml><?xml version="1.0" encoding="utf-8"?>
<ax:ocx xmlns:ax="http://schemas.microsoft.com/office/2006/activeX" xmlns:r="http://schemas.openxmlformats.org/officeDocument/2006/relationships" ax:classid="{8BD21D40-EC42-11CE-9E0D-00AA006002F3}" ax:persistence="persistStreamInit" r:id="rId1"/>
</file>

<file path=xl/activeX/activeX573.xml><?xml version="1.0" encoding="utf-8"?>
<ax:ocx xmlns:ax="http://schemas.microsoft.com/office/2006/activeX" xmlns:r="http://schemas.openxmlformats.org/officeDocument/2006/relationships" ax:classid="{8BD21D40-EC42-11CE-9E0D-00AA006002F3}" ax:persistence="persistStreamInit" r:id="rId1"/>
</file>

<file path=xl/activeX/activeX574.xml><?xml version="1.0" encoding="utf-8"?>
<ax:ocx xmlns:ax="http://schemas.microsoft.com/office/2006/activeX" xmlns:r="http://schemas.openxmlformats.org/officeDocument/2006/relationships" ax:classid="{8BD21D40-EC42-11CE-9E0D-00AA006002F3}" ax:persistence="persistStreamInit" r:id="rId1"/>
</file>

<file path=xl/activeX/activeX575.xml><?xml version="1.0" encoding="utf-8"?>
<ax:ocx xmlns:ax="http://schemas.microsoft.com/office/2006/activeX" xmlns:r="http://schemas.openxmlformats.org/officeDocument/2006/relationships" ax:classid="{8BD21D40-EC42-11CE-9E0D-00AA006002F3}" ax:persistence="persistStreamInit" r:id="rId1"/>
</file>

<file path=xl/activeX/activeX576.xml><?xml version="1.0" encoding="utf-8"?>
<ax:ocx xmlns:ax="http://schemas.microsoft.com/office/2006/activeX" xmlns:r="http://schemas.openxmlformats.org/officeDocument/2006/relationships" ax:classid="{8BD21D40-EC42-11CE-9E0D-00AA006002F3}" ax:persistence="persistStreamInit" r:id="rId1"/>
</file>

<file path=xl/activeX/activeX577.xml><?xml version="1.0" encoding="utf-8"?>
<ax:ocx xmlns:ax="http://schemas.microsoft.com/office/2006/activeX" xmlns:r="http://schemas.openxmlformats.org/officeDocument/2006/relationships" ax:classid="{8BD21D40-EC42-11CE-9E0D-00AA006002F3}" ax:persistence="persistStreamInit" r:id="rId1"/>
</file>

<file path=xl/activeX/activeX578.xml><?xml version="1.0" encoding="utf-8"?>
<ax:ocx xmlns:ax="http://schemas.microsoft.com/office/2006/activeX" xmlns:r="http://schemas.openxmlformats.org/officeDocument/2006/relationships" ax:classid="{8BD21D40-EC42-11CE-9E0D-00AA006002F3}" ax:persistence="persistStreamInit" r:id="rId1"/>
</file>

<file path=xl/activeX/activeX579.xml><?xml version="1.0" encoding="utf-8"?>
<ax:ocx xmlns:ax="http://schemas.microsoft.com/office/2006/activeX" xmlns:r="http://schemas.openxmlformats.org/officeDocument/2006/relationships" ax:classid="{8BD21D40-EC42-11CE-9E0D-00AA006002F3}" ax:persistence="persistStreamInit" r:id="rId1"/>
</file>

<file path=xl/activeX/activeX580.xml><?xml version="1.0" encoding="utf-8"?>
<ax:ocx xmlns:ax="http://schemas.microsoft.com/office/2006/activeX" xmlns:r="http://schemas.openxmlformats.org/officeDocument/2006/relationships" ax:classid="{8BD21D40-EC42-11CE-9E0D-00AA006002F3}" ax:persistence="persistStreamInit" r:id="rId1"/>
</file>

<file path=xl/activeX/activeX581.xml><?xml version="1.0" encoding="utf-8"?>
<ax:ocx xmlns:ax="http://schemas.microsoft.com/office/2006/activeX" xmlns:r="http://schemas.openxmlformats.org/officeDocument/2006/relationships" ax:classid="{8BD21D40-EC42-11CE-9E0D-00AA006002F3}" ax:persistence="persistStreamInit" r:id="rId1"/>
</file>

<file path=xl/activeX/activeX582.xml><?xml version="1.0" encoding="utf-8"?>
<ax:ocx xmlns:ax="http://schemas.microsoft.com/office/2006/activeX" xmlns:r="http://schemas.openxmlformats.org/officeDocument/2006/relationships" ax:classid="{8BD21D40-EC42-11CE-9E0D-00AA006002F3}" ax:persistence="persistStreamInit" r:id="rId1"/>
</file>

<file path=xl/activeX/activeX583.xml><?xml version="1.0" encoding="utf-8"?>
<ax:ocx xmlns:ax="http://schemas.microsoft.com/office/2006/activeX" xmlns:r="http://schemas.openxmlformats.org/officeDocument/2006/relationships" ax:classid="{8BD21D40-EC42-11CE-9E0D-00AA006002F3}" ax:persistence="persistStreamInit" r:id="rId1"/>
</file>

<file path=xl/activeX/activeX584.xml><?xml version="1.0" encoding="utf-8"?>
<ax:ocx xmlns:ax="http://schemas.microsoft.com/office/2006/activeX" xmlns:r="http://schemas.openxmlformats.org/officeDocument/2006/relationships" ax:classid="{8BD21D4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247650</xdr:colOff>
          <xdr:row>3</xdr:row>
          <xdr:rowOff>19050</xdr:rowOff>
        </xdr:from>
        <xdr:to>
          <xdr:col>2</xdr:col>
          <xdr:colOff>409575</xdr:colOff>
          <xdr:row>3</xdr:row>
          <xdr:rowOff>142875</xdr:rowOff>
        </xdr:to>
        <xdr:sp macro="" textlink="">
          <xdr:nvSpPr>
            <xdr:cNvPr id="1031" name="VarErr1" hidden="1">
              <a:extLst>
                <a:ext uri="{63B3BB69-23CF-44E3-9099-C40C66FF867C}">
                  <a14:compatExt spid="_x0000_s10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xdr:row>
          <xdr:rowOff>19050</xdr:rowOff>
        </xdr:from>
        <xdr:to>
          <xdr:col>2</xdr:col>
          <xdr:colOff>409575</xdr:colOff>
          <xdr:row>4</xdr:row>
          <xdr:rowOff>142875</xdr:rowOff>
        </xdr:to>
        <xdr:sp macro="" textlink="">
          <xdr:nvSpPr>
            <xdr:cNvPr id="1032" name="VarErr2"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xdr:row>
          <xdr:rowOff>19050</xdr:rowOff>
        </xdr:from>
        <xdr:to>
          <xdr:col>2</xdr:col>
          <xdr:colOff>409575</xdr:colOff>
          <xdr:row>5</xdr:row>
          <xdr:rowOff>142875</xdr:rowOff>
        </xdr:to>
        <xdr:sp macro="" textlink="">
          <xdr:nvSpPr>
            <xdr:cNvPr id="1033" name="VarErr3" hidden="1">
              <a:extLst>
                <a:ext uri="{63B3BB69-23CF-44E3-9099-C40C66FF867C}">
                  <a14:compatExt spid="_x0000_s10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xdr:row>
          <xdr:rowOff>19050</xdr:rowOff>
        </xdr:from>
        <xdr:to>
          <xdr:col>2</xdr:col>
          <xdr:colOff>409575</xdr:colOff>
          <xdr:row>6</xdr:row>
          <xdr:rowOff>142875</xdr:rowOff>
        </xdr:to>
        <xdr:sp macro="" textlink="">
          <xdr:nvSpPr>
            <xdr:cNvPr id="1034" name="VarErr4" hidden="1">
              <a:extLst>
                <a:ext uri="{63B3BB69-23CF-44E3-9099-C40C66FF867C}">
                  <a14:compatExt spid="_x0000_s10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xdr:row>
          <xdr:rowOff>19050</xdr:rowOff>
        </xdr:from>
        <xdr:to>
          <xdr:col>2</xdr:col>
          <xdr:colOff>409575</xdr:colOff>
          <xdr:row>7</xdr:row>
          <xdr:rowOff>142875</xdr:rowOff>
        </xdr:to>
        <xdr:sp macro="" textlink="">
          <xdr:nvSpPr>
            <xdr:cNvPr id="1035" name="VarErr5" hidden="1">
              <a:extLst>
                <a:ext uri="{63B3BB69-23CF-44E3-9099-C40C66FF867C}">
                  <a14:compatExt spid="_x0000_s10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xdr:row>
          <xdr:rowOff>19050</xdr:rowOff>
        </xdr:from>
        <xdr:to>
          <xdr:col>2</xdr:col>
          <xdr:colOff>409575</xdr:colOff>
          <xdr:row>8</xdr:row>
          <xdr:rowOff>142875</xdr:rowOff>
        </xdr:to>
        <xdr:sp macro="" textlink="">
          <xdr:nvSpPr>
            <xdr:cNvPr id="1036" name="VarErr6" hidden="1">
              <a:extLst>
                <a:ext uri="{63B3BB69-23CF-44E3-9099-C40C66FF867C}">
                  <a14:compatExt spid="_x0000_s10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xdr:row>
          <xdr:rowOff>19050</xdr:rowOff>
        </xdr:from>
        <xdr:to>
          <xdr:col>2</xdr:col>
          <xdr:colOff>409575</xdr:colOff>
          <xdr:row>9</xdr:row>
          <xdr:rowOff>142875</xdr:rowOff>
        </xdr:to>
        <xdr:sp macro="" textlink="">
          <xdr:nvSpPr>
            <xdr:cNvPr id="1037" name="VarErr7" hidden="1">
              <a:extLst>
                <a:ext uri="{63B3BB69-23CF-44E3-9099-C40C66FF867C}">
                  <a14:compatExt spid="_x0000_s10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10</xdr:row>
          <xdr:rowOff>19050</xdr:rowOff>
        </xdr:from>
        <xdr:to>
          <xdr:col>2</xdr:col>
          <xdr:colOff>409575</xdr:colOff>
          <xdr:row>10</xdr:row>
          <xdr:rowOff>142875</xdr:rowOff>
        </xdr:to>
        <xdr:sp macro="" textlink="">
          <xdr:nvSpPr>
            <xdr:cNvPr id="1038" name="VarErr8" hidden="1">
              <a:extLst>
                <a:ext uri="{63B3BB69-23CF-44E3-9099-C40C66FF867C}">
                  <a14:compatExt spid="_x0000_s10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11</xdr:row>
          <xdr:rowOff>19050</xdr:rowOff>
        </xdr:from>
        <xdr:to>
          <xdr:col>2</xdr:col>
          <xdr:colOff>409575</xdr:colOff>
          <xdr:row>11</xdr:row>
          <xdr:rowOff>142875</xdr:rowOff>
        </xdr:to>
        <xdr:sp macro="" textlink="">
          <xdr:nvSpPr>
            <xdr:cNvPr id="1039" name="VarErr9" hidden="1">
              <a:extLst>
                <a:ext uri="{63B3BB69-23CF-44E3-9099-C40C66FF867C}">
                  <a14:compatExt spid="_x0000_s10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12</xdr:row>
          <xdr:rowOff>19050</xdr:rowOff>
        </xdr:from>
        <xdr:to>
          <xdr:col>2</xdr:col>
          <xdr:colOff>409575</xdr:colOff>
          <xdr:row>12</xdr:row>
          <xdr:rowOff>142875</xdr:rowOff>
        </xdr:to>
        <xdr:sp macro="" textlink="">
          <xdr:nvSpPr>
            <xdr:cNvPr id="1040" name="VarErr10" hidden="1">
              <a:extLst>
                <a:ext uri="{63B3BB69-23CF-44E3-9099-C40C66FF867C}">
                  <a14:compatExt spid="_x0000_s10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13</xdr:row>
          <xdr:rowOff>19050</xdr:rowOff>
        </xdr:from>
        <xdr:to>
          <xdr:col>2</xdr:col>
          <xdr:colOff>409575</xdr:colOff>
          <xdr:row>13</xdr:row>
          <xdr:rowOff>142875</xdr:rowOff>
        </xdr:to>
        <xdr:sp macro="" textlink="">
          <xdr:nvSpPr>
            <xdr:cNvPr id="1041" name="VarErr11" hidden="1">
              <a:extLst>
                <a:ext uri="{63B3BB69-23CF-44E3-9099-C40C66FF867C}">
                  <a14:compatExt spid="_x0000_s10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14</xdr:row>
          <xdr:rowOff>19050</xdr:rowOff>
        </xdr:from>
        <xdr:to>
          <xdr:col>2</xdr:col>
          <xdr:colOff>409575</xdr:colOff>
          <xdr:row>14</xdr:row>
          <xdr:rowOff>142875</xdr:rowOff>
        </xdr:to>
        <xdr:sp macro="" textlink="">
          <xdr:nvSpPr>
            <xdr:cNvPr id="1042" name="VarErr12" hidden="1">
              <a:extLst>
                <a:ext uri="{63B3BB69-23CF-44E3-9099-C40C66FF867C}">
                  <a14:compatExt spid="_x0000_s10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15</xdr:row>
          <xdr:rowOff>19050</xdr:rowOff>
        </xdr:from>
        <xdr:to>
          <xdr:col>2</xdr:col>
          <xdr:colOff>409575</xdr:colOff>
          <xdr:row>15</xdr:row>
          <xdr:rowOff>142875</xdr:rowOff>
        </xdr:to>
        <xdr:sp macro="" textlink="">
          <xdr:nvSpPr>
            <xdr:cNvPr id="1043" name="VarErr13" hidden="1">
              <a:extLst>
                <a:ext uri="{63B3BB69-23CF-44E3-9099-C40C66FF867C}">
                  <a14:compatExt spid="_x0000_s10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16</xdr:row>
          <xdr:rowOff>19050</xdr:rowOff>
        </xdr:from>
        <xdr:to>
          <xdr:col>2</xdr:col>
          <xdr:colOff>409575</xdr:colOff>
          <xdr:row>16</xdr:row>
          <xdr:rowOff>142875</xdr:rowOff>
        </xdr:to>
        <xdr:sp macro="" textlink="">
          <xdr:nvSpPr>
            <xdr:cNvPr id="1044" name="VarErr14" hidden="1">
              <a:extLst>
                <a:ext uri="{63B3BB69-23CF-44E3-9099-C40C66FF867C}">
                  <a14:compatExt spid="_x0000_s10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17</xdr:row>
          <xdr:rowOff>19050</xdr:rowOff>
        </xdr:from>
        <xdr:to>
          <xdr:col>2</xdr:col>
          <xdr:colOff>409575</xdr:colOff>
          <xdr:row>17</xdr:row>
          <xdr:rowOff>142875</xdr:rowOff>
        </xdr:to>
        <xdr:sp macro="" textlink="">
          <xdr:nvSpPr>
            <xdr:cNvPr id="1045" name="VarErr15" hidden="1">
              <a:extLst>
                <a:ext uri="{63B3BB69-23CF-44E3-9099-C40C66FF867C}">
                  <a14:compatExt spid="_x0000_s10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18</xdr:row>
          <xdr:rowOff>19050</xdr:rowOff>
        </xdr:from>
        <xdr:to>
          <xdr:col>2</xdr:col>
          <xdr:colOff>409575</xdr:colOff>
          <xdr:row>18</xdr:row>
          <xdr:rowOff>142875</xdr:rowOff>
        </xdr:to>
        <xdr:sp macro="" textlink="">
          <xdr:nvSpPr>
            <xdr:cNvPr id="1046" name="VarErr16" hidden="1">
              <a:extLst>
                <a:ext uri="{63B3BB69-23CF-44E3-9099-C40C66FF867C}">
                  <a14:compatExt spid="_x0000_s10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19</xdr:row>
          <xdr:rowOff>19050</xdr:rowOff>
        </xdr:from>
        <xdr:to>
          <xdr:col>2</xdr:col>
          <xdr:colOff>409575</xdr:colOff>
          <xdr:row>19</xdr:row>
          <xdr:rowOff>142875</xdr:rowOff>
        </xdr:to>
        <xdr:sp macro="" textlink="">
          <xdr:nvSpPr>
            <xdr:cNvPr id="1047" name="VarErr17" hidden="1">
              <a:extLst>
                <a:ext uri="{63B3BB69-23CF-44E3-9099-C40C66FF867C}">
                  <a14:compatExt spid="_x0000_s10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20</xdr:row>
          <xdr:rowOff>19050</xdr:rowOff>
        </xdr:from>
        <xdr:to>
          <xdr:col>2</xdr:col>
          <xdr:colOff>409575</xdr:colOff>
          <xdr:row>20</xdr:row>
          <xdr:rowOff>142875</xdr:rowOff>
        </xdr:to>
        <xdr:sp macro="" textlink="">
          <xdr:nvSpPr>
            <xdr:cNvPr id="1048" name="VarErr18" hidden="1">
              <a:extLst>
                <a:ext uri="{63B3BB69-23CF-44E3-9099-C40C66FF867C}">
                  <a14:compatExt spid="_x0000_s10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21</xdr:row>
          <xdr:rowOff>19050</xdr:rowOff>
        </xdr:from>
        <xdr:to>
          <xdr:col>2</xdr:col>
          <xdr:colOff>409575</xdr:colOff>
          <xdr:row>21</xdr:row>
          <xdr:rowOff>142875</xdr:rowOff>
        </xdr:to>
        <xdr:sp macro="" textlink="">
          <xdr:nvSpPr>
            <xdr:cNvPr id="1049" name="VarErr19" hidden="1">
              <a:extLst>
                <a:ext uri="{63B3BB69-23CF-44E3-9099-C40C66FF867C}">
                  <a14:compatExt spid="_x0000_s10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22</xdr:row>
          <xdr:rowOff>19050</xdr:rowOff>
        </xdr:from>
        <xdr:to>
          <xdr:col>2</xdr:col>
          <xdr:colOff>409575</xdr:colOff>
          <xdr:row>22</xdr:row>
          <xdr:rowOff>142875</xdr:rowOff>
        </xdr:to>
        <xdr:sp macro="" textlink="">
          <xdr:nvSpPr>
            <xdr:cNvPr id="1050" name="VarErr20" hidden="1">
              <a:extLst>
                <a:ext uri="{63B3BB69-23CF-44E3-9099-C40C66FF867C}">
                  <a14:compatExt spid="_x0000_s1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23</xdr:row>
          <xdr:rowOff>19050</xdr:rowOff>
        </xdr:from>
        <xdr:to>
          <xdr:col>2</xdr:col>
          <xdr:colOff>409575</xdr:colOff>
          <xdr:row>23</xdr:row>
          <xdr:rowOff>142875</xdr:rowOff>
        </xdr:to>
        <xdr:sp macro="" textlink="">
          <xdr:nvSpPr>
            <xdr:cNvPr id="1051" name="VarErr21" hidden="1">
              <a:extLst>
                <a:ext uri="{63B3BB69-23CF-44E3-9099-C40C66FF867C}">
                  <a14:compatExt spid="_x0000_s10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24</xdr:row>
          <xdr:rowOff>19050</xdr:rowOff>
        </xdr:from>
        <xdr:to>
          <xdr:col>2</xdr:col>
          <xdr:colOff>409575</xdr:colOff>
          <xdr:row>24</xdr:row>
          <xdr:rowOff>142875</xdr:rowOff>
        </xdr:to>
        <xdr:sp macro="" textlink="">
          <xdr:nvSpPr>
            <xdr:cNvPr id="1052" name="VarErr22" hidden="1">
              <a:extLst>
                <a:ext uri="{63B3BB69-23CF-44E3-9099-C40C66FF867C}">
                  <a14:compatExt spid="_x0000_s10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25</xdr:row>
          <xdr:rowOff>19050</xdr:rowOff>
        </xdr:from>
        <xdr:to>
          <xdr:col>2</xdr:col>
          <xdr:colOff>409575</xdr:colOff>
          <xdr:row>25</xdr:row>
          <xdr:rowOff>142875</xdr:rowOff>
        </xdr:to>
        <xdr:sp macro="" textlink="">
          <xdr:nvSpPr>
            <xdr:cNvPr id="1053" name="VarErr23" hidden="1">
              <a:extLst>
                <a:ext uri="{63B3BB69-23CF-44E3-9099-C40C66FF867C}">
                  <a14:compatExt spid="_x0000_s10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26</xdr:row>
          <xdr:rowOff>19050</xdr:rowOff>
        </xdr:from>
        <xdr:to>
          <xdr:col>2</xdr:col>
          <xdr:colOff>409575</xdr:colOff>
          <xdr:row>26</xdr:row>
          <xdr:rowOff>142875</xdr:rowOff>
        </xdr:to>
        <xdr:sp macro="" textlink="">
          <xdr:nvSpPr>
            <xdr:cNvPr id="1054" name="VarErr24" hidden="1">
              <a:extLst>
                <a:ext uri="{63B3BB69-23CF-44E3-9099-C40C66FF867C}">
                  <a14:compatExt spid="_x0000_s10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27</xdr:row>
          <xdr:rowOff>19050</xdr:rowOff>
        </xdr:from>
        <xdr:to>
          <xdr:col>2</xdr:col>
          <xdr:colOff>409575</xdr:colOff>
          <xdr:row>27</xdr:row>
          <xdr:rowOff>142875</xdr:rowOff>
        </xdr:to>
        <xdr:sp macro="" textlink="">
          <xdr:nvSpPr>
            <xdr:cNvPr id="1055" name="VarErr25" hidden="1">
              <a:extLst>
                <a:ext uri="{63B3BB69-23CF-44E3-9099-C40C66FF867C}">
                  <a14:compatExt spid="_x0000_s10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28</xdr:row>
          <xdr:rowOff>19050</xdr:rowOff>
        </xdr:from>
        <xdr:to>
          <xdr:col>2</xdr:col>
          <xdr:colOff>409575</xdr:colOff>
          <xdr:row>28</xdr:row>
          <xdr:rowOff>142875</xdr:rowOff>
        </xdr:to>
        <xdr:sp macro="" textlink="">
          <xdr:nvSpPr>
            <xdr:cNvPr id="1056" name="VarErr26" hidden="1">
              <a:extLst>
                <a:ext uri="{63B3BB69-23CF-44E3-9099-C40C66FF867C}">
                  <a14:compatExt spid="_x0000_s10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29</xdr:row>
          <xdr:rowOff>19050</xdr:rowOff>
        </xdr:from>
        <xdr:to>
          <xdr:col>2</xdr:col>
          <xdr:colOff>409575</xdr:colOff>
          <xdr:row>29</xdr:row>
          <xdr:rowOff>142875</xdr:rowOff>
        </xdr:to>
        <xdr:sp macro="" textlink="">
          <xdr:nvSpPr>
            <xdr:cNvPr id="1057" name="VarErr27" hidden="1">
              <a:extLst>
                <a:ext uri="{63B3BB69-23CF-44E3-9099-C40C66FF867C}">
                  <a14:compatExt spid="_x0000_s10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30</xdr:row>
          <xdr:rowOff>19050</xdr:rowOff>
        </xdr:from>
        <xdr:to>
          <xdr:col>2</xdr:col>
          <xdr:colOff>409575</xdr:colOff>
          <xdr:row>30</xdr:row>
          <xdr:rowOff>142875</xdr:rowOff>
        </xdr:to>
        <xdr:sp macro="" textlink="">
          <xdr:nvSpPr>
            <xdr:cNvPr id="1058" name="VarErr28" hidden="1">
              <a:extLst>
                <a:ext uri="{63B3BB69-23CF-44E3-9099-C40C66FF867C}">
                  <a14:compatExt spid="_x0000_s10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31</xdr:row>
          <xdr:rowOff>19050</xdr:rowOff>
        </xdr:from>
        <xdr:to>
          <xdr:col>2</xdr:col>
          <xdr:colOff>409575</xdr:colOff>
          <xdr:row>31</xdr:row>
          <xdr:rowOff>142875</xdr:rowOff>
        </xdr:to>
        <xdr:sp macro="" textlink="">
          <xdr:nvSpPr>
            <xdr:cNvPr id="1059" name="VarErr29" hidden="1">
              <a:extLst>
                <a:ext uri="{63B3BB69-23CF-44E3-9099-C40C66FF867C}">
                  <a14:compatExt spid="_x0000_s10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32</xdr:row>
          <xdr:rowOff>19050</xdr:rowOff>
        </xdr:from>
        <xdr:to>
          <xdr:col>2</xdr:col>
          <xdr:colOff>409575</xdr:colOff>
          <xdr:row>32</xdr:row>
          <xdr:rowOff>142875</xdr:rowOff>
        </xdr:to>
        <xdr:sp macro="" textlink="">
          <xdr:nvSpPr>
            <xdr:cNvPr id="1060" name="VarErr30" hidden="1">
              <a:extLst>
                <a:ext uri="{63B3BB69-23CF-44E3-9099-C40C66FF867C}">
                  <a14:compatExt spid="_x0000_s10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33</xdr:row>
          <xdr:rowOff>19050</xdr:rowOff>
        </xdr:from>
        <xdr:to>
          <xdr:col>2</xdr:col>
          <xdr:colOff>409575</xdr:colOff>
          <xdr:row>33</xdr:row>
          <xdr:rowOff>142875</xdr:rowOff>
        </xdr:to>
        <xdr:sp macro="" textlink="">
          <xdr:nvSpPr>
            <xdr:cNvPr id="1061" name="VarErr31" hidden="1">
              <a:extLst>
                <a:ext uri="{63B3BB69-23CF-44E3-9099-C40C66FF867C}">
                  <a14:compatExt spid="_x0000_s10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34</xdr:row>
          <xdr:rowOff>19050</xdr:rowOff>
        </xdr:from>
        <xdr:to>
          <xdr:col>2</xdr:col>
          <xdr:colOff>409575</xdr:colOff>
          <xdr:row>34</xdr:row>
          <xdr:rowOff>142875</xdr:rowOff>
        </xdr:to>
        <xdr:sp macro="" textlink="">
          <xdr:nvSpPr>
            <xdr:cNvPr id="1062" name="VarErr32" hidden="1">
              <a:extLst>
                <a:ext uri="{63B3BB69-23CF-44E3-9099-C40C66FF867C}">
                  <a14:compatExt spid="_x0000_s10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35</xdr:row>
          <xdr:rowOff>19050</xdr:rowOff>
        </xdr:from>
        <xdr:to>
          <xdr:col>2</xdr:col>
          <xdr:colOff>409575</xdr:colOff>
          <xdr:row>35</xdr:row>
          <xdr:rowOff>142875</xdr:rowOff>
        </xdr:to>
        <xdr:sp macro="" textlink="">
          <xdr:nvSpPr>
            <xdr:cNvPr id="1063" name="VarErr33" hidden="1">
              <a:extLst>
                <a:ext uri="{63B3BB69-23CF-44E3-9099-C40C66FF867C}">
                  <a14:compatExt spid="_x0000_s10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36</xdr:row>
          <xdr:rowOff>19050</xdr:rowOff>
        </xdr:from>
        <xdr:to>
          <xdr:col>2</xdr:col>
          <xdr:colOff>409575</xdr:colOff>
          <xdr:row>36</xdr:row>
          <xdr:rowOff>142875</xdr:rowOff>
        </xdr:to>
        <xdr:sp macro="" textlink="">
          <xdr:nvSpPr>
            <xdr:cNvPr id="1064" name="VarErr34" hidden="1">
              <a:extLst>
                <a:ext uri="{63B3BB69-23CF-44E3-9099-C40C66FF867C}">
                  <a14:compatExt spid="_x0000_s10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37</xdr:row>
          <xdr:rowOff>19050</xdr:rowOff>
        </xdr:from>
        <xdr:to>
          <xdr:col>2</xdr:col>
          <xdr:colOff>409575</xdr:colOff>
          <xdr:row>37</xdr:row>
          <xdr:rowOff>142875</xdr:rowOff>
        </xdr:to>
        <xdr:sp macro="" textlink="">
          <xdr:nvSpPr>
            <xdr:cNvPr id="1065" name="VarErr35" hidden="1">
              <a:extLst>
                <a:ext uri="{63B3BB69-23CF-44E3-9099-C40C66FF867C}">
                  <a14:compatExt spid="_x0000_s10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38</xdr:row>
          <xdr:rowOff>19050</xdr:rowOff>
        </xdr:from>
        <xdr:to>
          <xdr:col>2</xdr:col>
          <xdr:colOff>409575</xdr:colOff>
          <xdr:row>38</xdr:row>
          <xdr:rowOff>142875</xdr:rowOff>
        </xdr:to>
        <xdr:sp macro="" textlink="">
          <xdr:nvSpPr>
            <xdr:cNvPr id="1066" name="VarErr36" hidden="1">
              <a:extLst>
                <a:ext uri="{63B3BB69-23CF-44E3-9099-C40C66FF867C}">
                  <a14:compatExt spid="_x0000_s10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39</xdr:row>
          <xdr:rowOff>19050</xdr:rowOff>
        </xdr:from>
        <xdr:to>
          <xdr:col>2</xdr:col>
          <xdr:colOff>409575</xdr:colOff>
          <xdr:row>39</xdr:row>
          <xdr:rowOff>142875</xdr:rowOff>
        </xdr:to>
        <xdr:sp macro="" textlink="">
          <xdr:nvSpPr>
            <xdr:cNvPr id="1067" name="VarErr37" hidden="1">
              <a:extLst>
                <a:ext uri="{63B3BB69-23CF-44E3-9099-C40C66FF867C}">
                  <a14:compatExt spid="_x0000_s10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40</xdr:row>
          <xdr:rowOff>19050</xdr:rowOff>
        </xdr:from>
        <xdr:to>
          <xdr:col>2</xdr:col>
          <xdr:colOff>409575</xdr:colOff>
          <xdr:row>40</xdr:row>
          <xdr:rowOff>142875</xdr:rowOff>
        </xdr:to>
        <xdr:sp macro="" textlink="">
          <xdr:nvSpPr>
            <xdr:cNvPr id="1068" name="VarErr38" hidden="1">
              <a:extLst>
                <a:ext uri="{63B3BB69-23CF-44E3-9099-C40C66FF867C}">
                  <a14:compatExt spid="_x0000_s10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41</xdr:row>
          <xdr:rowOff>19050</xdr:rowOff>
        </xdr:from>
        <xdr:to>
          <xdr:col>2</xdr:col>
          <xdr:colOff>409575</xdr:colOff>
          <xdr:row>41</xdr:row>
          <xdr:rowOff>142875</xdr:rowOff>
        </xdr:to>
        <xdr:sp macro="" textlink="">
          <xdr:nvSpPr>
            <xdr:cNvPr id="1069" name="VarErr39" hidden="1">
              <a:extLst>
                <a:ext uri="{63B3BB69-23CF-44E3-9099-C40C66FF867C}">
                  <a14:compatExt spid="_x0000_s10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42</xdr:row>
          <xdr:rowOff>19050</xdr:rowOff>
        </xdr:from>
        <xdr:to>
          <xdr:col>2</xdr:col>
          <xdr:colOff>409575</xdr:colOff>
          <xdr:row>42</xdr:row>
          <xdr:rowOff>142875</xdr:rowOff>
        </xdr:to>
        <xdr:sp macro="" textlink="">
          <xdr:nvSpPr>
            <xdr:cNvPr id="1070" name="VarErr40" hidden="1">
              <a:extLst>
                <a:ext uri="{63B3BB69-23CF-44E3-9099-C40C66FF867C}">
                  <a14:compatExt spid="_x0000_s10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43</xdr:row>
          <xdr:rowOff>19050</xdr:rowOff>
        </xdr:from>
        <xdr:to>
          <xdr:col>2</xdr:col>
          <xdr:colOff>409575</xdr:colOff>
          <xdr:row>43</xdr:row>
          <xdr:rowOff>142875</xdr:rowOff>
        </xdr:to>
        <xdr:sp macro="" textlink="">
          <xdr:nvSpPr>
            <xdr:cNvPr id="1071" name="VarErr41" hidden="1">
              <a:extLst>
                <a:ext uri="{63B3BB69-23CF-44E3-9099-C40C66FF867C}">
                  <a14:compatExt spid="_x0000_s10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44</xdr:row>
          <xdr:rowOff>19050</xdr:rowOff>
        </xdr:from>
        <xdr:to>
          <xdr:col>2</xdr:col>
          <xdr:colOff>409575</xdr:colOff>
          <xdr:row>44</xdr:row>
          <xdr:rowOff>142875</xdr:rowOff>
        </xdr:to>
        <xdr:sp macro="" textlink="">
          <xdr:nvSpPr>
            <xdr:cNvPr id="1072" name="VarErr42" hidden="1">
              <a:extLst>
                <a:ext uri="{63B3BB69-23CF-44E3-9099-C40C66FF867C}">
                  <a14:compatExt spid="_x0000_s10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45</xdr:row>
          <xdr:rowOff>19050</xdr:rowOff>
        </xdr:from>
        <xdr:to>
          <xdr:col>2</xdr:col>
          <xdr:colOff>409575</xdr:colOff>
          <xdr:row>45</xdr:row>
          <xdr:rowOff>142875</xdr:rowOff>
        </xdr:to>
        <xdr:sp macro="" textlink="">
          <xdr:nvSpPr>
            <xdr:cNvPr id="1073" name="VarErr43" hidden="1">
              <a:extLst>
                <a:ext uri="{63B3BB69-23CF-44E3-9099-C40C66FF867C}">
                  <a14:compatExt spid="_x0000_s10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46</xdr:row>
          <xdr:rowOff>19050</xdr:rowOff>
        </xdr:from>
        <xdr:to>
          <xdr:col>2</xdr:col>
          <xdr:colOff>409575</xdr:colOff>
          <xdr:row>46</xdr:row>
          <xdr:rowOff>142875</xdr:rowOff>
        </xdr:to>
        <xdr:sp macro="" textlink="">
          <xdr:nvSpPr>
            <xdr:cNvPr id="1074" name="VarErr44" hidden="1">
              <a:extLst>
                <a:ext uri="{63B3BB69-23CF-44E3-9099-C40C66FF867C}">
                  <a14:compatExt spid="_x0000_s10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47</xdr:row>
          <xdr:rowOff>19050</xdr:rowOff>
        </xdr:from>
        <xdr:to>
          <xdr:col>2</xdr:col>
          <xdr:colOff>409575</xdr:colOff>
          <xdr:row>47</xdr:row>
          <xdr:rowOff>142875</xdr:rowOff>
        </xdr:to>
        <xdr:sp macro="" textlink="">
          <xdr:nvSpPr>
            <xdr:cNvPr id="1075" name="VarErr45" hidden="1">
              <a:extLst>
                <a:ext uri="{63B3BB69-23CF-44E3-9099-C40C66FF867C}">
                  <a14:compatExt spid="_x0000_s10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48</xdr:row>
          <xdr:rowOff>19050</xdr:rowOff>
        </xdr:from>
        <xdr:to>
          <xdr:col>2</xdr:col>
          <xdr:colOff>409575</xdr:colOff>
          <xdr:row>48</xdr:row>
          <xdr:rowOff>142875</xdr:rowOff>
        </xdr:to>
        <xdr:sp macro="" textlink="">
          <xdr:nvSpPr>
            <xdr:cNvPr id="1076" name="VarErr46" hidden="1">
              <a:extLst>
                <a:ext uri="{63B3BB69-23CF-44E3-9099-C40C66FF867C}">
                  <a14:compatExt spid="_x0000_s10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49</xdr:row>
          <xdr:rowOff>19050</xdr:rowOff>
        </xdr:from>
        <xdr:to>
          <xdr:col>2</xdr:col>
          <xdr:colOff>409575</xdr:colOff>
          <xdr:row>49</xdr:row>
          <xdr:rowOff>142875</xdr:rowOff>
        </xdr:to>
        <xdr:sp macro="" textlink="">
          <xdr:nvSpPr>
            <xdr:cNvPr id="1077" name="VarErr47" hidden="1">
              <a:extLst>
                <a:ext uri="{63B3BB69-23CF-44E3-9099-C40C66FF867C}">
                  <a14:compatExt spid="_x0000_s10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50</xdr:row>
          <xdr:rowOff>19050</xdr:rowOff>
        </xdr:from>
        <xdr:to>
          <xdr:col>2</xdr:col>
          <xdr:colOff>409575</xdr:colOff>
          <xdr:row>50</xdr:row>
          <xdr:rowOff>142875</xdr:rowOff>
        </xdr:to>
        <xdr:sp macro="" textlink="">
          <xdr:nvSpPr>
            <xdr:cNvPr id="1078" name="VarErr48" hidden="1">
              <a:extLst>
                <a:ext uri="{63B3BB69-23CF-44E3-9099-C40C66FF867C}">
                  <a14:compatExt spid="_x0000_s10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51</xdr:row>
          <xdr:rowOff>19050</xdr:rowOff>
        </xdr:from>
        <xdr:to>
          <xdr:col>2</xdr:col>
          <xdr:colOff>409575</xdr:colOff>
          <xdr:row>51</xdr:row>
          <xdr:rowOff>142875</xdr:rowOff>
        </xdr:to>
        <xdr:sp macro="" textlink="">
          <xdr:nvSpPr>
            <xdr:cNvPr id="1079" name="VarErr49" hidden="1">
              <a:extLst>
                <a:ext uri="{63B3BB69-23CF-44E3-9099-C40C66FF867C}">
                  <a14:compatExt spid="_x0000_s10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52</xdr:row>
          <xdr:rowOff>19050</xdr:rowOff>
        </xdr:from>
        <xdr:to>
          <xdr:col>2</xdr:col>
          <xdr:colOff>409575</xdr:colOff>
          <xdr:row>52</xdr:row>
          <xdr:rowOff>142875</xdr:rowOff>
        </xdr:to>
        <xdr:sp macro="" textlink="">
          <xdr:nvSpPr>
            <xdr:cNvPr id="1080" name="VarErr50" hidden="1">
              <a:extLst>
                <a:ext uri="{63B3BB69-23CF-44E3-9099-C40C66FF867C}">
                  <a14:compatExt spid="_x0000_s10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53</xdr:row>
          <xdr:rowOff>19050</xdr:rowOff>
        </xdr:from>
        <xdr:to>
          <xdr:col>2</xdr:col>
          <xdr:colOff>409575</xdr:colOff>
          <xdr:row>53</xdr:row>
          <xdr:rowOff>142875</xdr:rowOff>
        </xdr:to>
        <xdr:sp macro="" textlink="">
          <xdr:nvSpPr>
            <xdr:cNvPr id="1081" name="VarErr51" hidden="1">
              <a:extLst>
                <a:ext uri="{63B3BB69-23CF-44E3-9099-C40C66FF867C}">
                  <a14:compatExt spid="_x0000_s10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54</xdr:row>
          <xdr:rowOff>19050</xdr:rowOff>
        </xdr:from>
        <xdr:to>
          <xdr:col>2</xdr:col>
          <xdr:colOff>409575</xdr:colOff>
          <xdr:row>54</xdr:row>
          <xdr:rowOff>142875</xdr:rowOff>
        </xdr:to>
        <xdr:sp macro="" textlink="">
          <xdr:nvSpPr>
            <xdr:cNvPr id="1082" name="VarErr52" hidden="1">
              <a:extLst>
                <a:ext uri="{63B3BB69-23CF-44E3-9099-C40C66FF867C}">
                  <a14:compatExt spid="_x0000_s10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55</xdr:row>
          <xdr:rowOff>19050</xdr:rowOff>
        </xdr:from>
        <xdr:to>
          <xdr:col>2</xdr:col>
          <xdr:colOff>409575</xdr:colOff>
          <xdr:row>55</xdr:row>
          <xdr:rowOff>142875</xdr:rowOff>
        </xdr:to>
        <xdr:sp macro="" textlink="">
          <xdr:nvSpPr>
            <xdr:cNvPr id="1083" name="VarErr53" hidden="1">
              <a:extLst>
                <a:ext uri="{63B3BB69-23CF-44E3-9099-C40C66FF867C}">
                  <a14:compatExt spid="_x0000_s10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56</xdr:row>
          <xdr:rowOff>19050</xdr:rowOff>
        </xdr:from>
        <xdr:to>
          <xdr:col>2</xdr:col>
          <xdr:colOff>409575</xdr:colOff>
          <xdr:row>56</xdr:row>
          <xdr:rowOff>142875</xdr:rowOff>
        </xdr:to>
        <xdr:sp macro="" textlink="">
          <xdr:nvSpPr>
            <xdr:cNvPr id="1084" name="VarErr54" hidden="1">
              <a:extLst>
                <a:ext uri="{63B3BB69-23CF-44E3-9099-C40C66FF867C}">
                  <a14:compatExt spid="_x0000_s10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57</xdr:row>
          <xdr:rowOff>19050</xdr:rowOff>
        </xdr:from>
        <xdr:to>
          <xdr:col>2</xdr:col>
          <xdr:colOff>409575</xdr:colOff>
          <xdr:row>57</xdr:row>
          <xdr:rowOff>142875</xdr:rowOff>
        </xdr:to>
        <xdr:sp macro="" textlink="">
          <xdr:nvSpPr>
            <xdr:cNvPr id="1085" name="VarErr55" hidden="1">
              <a:extLst>
                <a:ext uri="{63B3BB69-23CF-44E3-9099-C40C66FF867C}">
                  <a14:compatExt spid="_x0000_s10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58</xdr:row>
          <xdr:rowOff>19050</xdr:rowOff>
        </xdr:from>
        <xdr:to>
          <xdr:col>2</xdr:col>
          <xdr:colOff>409575</xdr:colOff>
          <xdr:row>58</xdr:row>
          <xdr:rowOff>142875</xdr:rowOff>
        </xdr:to>
        <xdr:sp macro="" textlink="">
          <xdr:nvSpPr>
            <xdr:cNvPr id="1086" name="VarErr56" hidden="1">
              <a:extLst>
                <a:ext uri="{63B3BB69-23CF-44E3-9099-C40C66FF867C}">
                  <a14:compatExt spid="_x0000_s10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59</xdr:row>
          <xdr:rowOff>19050</xdr:rowOff>
        </xdr:from>
        <xdr:to>
          <xdr:col>2</xdr:col>
          <xdr:colOff>409575</xdr:colOff>
          <xdr:row>59</xdr:row>
          <xdr:rowOff>142875</xdr:rowOff>
        </xdr:to>
        <xdr:sp macro="" textlink="">
          <xdr:nvSpPr>
            <xdr:cNvPr id="1087" name="VarErr57" hidden="1">
              <a:extLst>
                <a:ext uri="{63B3BB69-23CF-44E3-9099-C40C66FF867C}">
                  <a14:compatExt spid="_x0000_s10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60</xdr:row>
          <xdr:rowOff>19050</xdr:rowOff>
        </xdr:from>
        <xdr:to>
          <xdr:col>2</xdr:col>
          <xdr:colOff>409575</xdr:colOff>
          <xdr:row>60</xdr:row>
          <xdr:rowOff>142875</xdr:rowOff>
        </xdr:to>
        <xdr:sp macro="" textlink="">
          <xdr:nvSpPr>
            <xdr:cNvPr id="1088" name="VarErr58" hidden="1">
              <a:extLst>
                <a:ext uri="{63B3BB69-23CF-44E3-9099-C40C66FF867C}">
                  <a14:compatExt spid="_x0000_s10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61</xdr:row>
          <xdr:rowOff>19050</xdr:rowOff>
        </xdr:from>
        <xdr:to>
          <xdr:col>2</xdr:col>
          <xdr:colOff>409575</xdr:colOff>
          <xdr:row>61</xdr:row>
          <xdr:rowOff>142875</xdr:rowOff>
        </xdr:to>
        <xdr:sp macro="" textlink="">
          <xdr:nvSpPr>
            <xdr:cNvPr id="1089" name="VarErr59" hidden="1">
              <a:extLst>
                <a:ext uri="{63B3BB69-23CF-44E3-9099-C40C66FF867C}">
                  <a14:compatExt spid="_x0000_s10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62</xdr:row>
          <xdr:rowOff>19050</xdr:rowOff>
        </xdr:from>
        <xdr:to>
          <xdr:col>2</xdr:col>
          <xdr:colOff>409575</xdr:colOff>
          <xdr:row>62</xdr:row>
          <xdr:rowOff>142875</xdr:rowOff>
        </xdr:to>
        <xdr:sp macro="" textlink="">
          <xdr:nvSpPr>
            <xdr:cNvPr id="1090" name="VarErr60" hidden="1">
              <a:extLst>
                <a:ext uri="{63B3BB69-23CF-44E3-9099-C40C66FF867C}">
                  <a14:compatExt spid="_x0000_s10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63</xdr:row>
          <xdr:rowOff>19050</xdr:rowOff>
        </xdr:from>
        <xdr:to>
          <xdr:col>2</xdr:col>
          <xdr:colOff>409575</xdr:colOff>
          <xdr:row>63</xdr:row>
          <xdr:rowOff>142875</xdr:rowOff>
        </xdr:to>
        <xdr:sp macro="" textlink="">
          <xdr:nvSpPr>
            <xdr:cNvPr id="1091" name="VarErr61" hidden="1">
              <a:extLst>
                <a:ext uri="{63B3BB69-23CF-44E3-9099-C40C66FF867C}">
                  <a14:compatExt spid="_x0000_s10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64</xdr:row>
          <xdr:rowOff>19050</xdr:rowOff>
        </xdr:from>
        <xdr:to>
          <xdr:col>2</xdr:col>
          <xdr:colOff>409575</xdr:colOff>
          <xdr:row>64</xdr:row>
          <xdr:rowOff>142875</xdr:rowOff>
        </xdr:to>
        <xdr:sp macro="" textlink="">
          <xdr:nvSpPr>
            <xdr:cNvPr id="1092" name="VarErr62" hidden="1">
              <a:extLst>
                <a:ext uri="{63B3BB69-23CF-44E3-9099-C40C66FF867C}">
                  <a14:compatExt spid="_x0000_s10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65</xdr:row>
          <xdr:rowOff>19050</xdr:rowOff>
        </xdr:from>
        <xdr:to>
          <xdr:col>2</xdr:col>
          <xdr:colOff>409575</xdr:colOff>
          <xdr:row>65</xdr:row>
          <xdr:rowOff>142875</xdr:rowOff>
        </xdr:to>
        <xdr:sp macro="" textlink="">
          <xdr:nvSpPr>
            <xdr:cNvPr id="1093" name="VarErr63" hidden="1">
              <a:extLst>
                <a:ext uri="{63B3BB69-23CF-44E3-9099-C40C66FF867C}">
                  <a14:compatExt spid="_x0000_s10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66</xdr:row>
          <xdr:rowOff>19050</xdr:rowOff>
        </xdr:from>
        <xdr:to>
          <xdr:col>2</xdr:col>
          <xdr:colOff>409575</xdr:colOff>
          <xdr:row>66</xdr:row>
          <xdr:rowOff>142875</xdr:rowOff>
        </xdr:to>
        <xdr:sp macro="" textlink="">
          <xdr:nvSpPr>
            <xdr:cNvPr id="1094" name="VarErr64" hidden="1">
              <a:extLst>
                <a:ext uri="{63B3BB69-23CF-44E3-9099-C40C66FF867C}">
                  <a14:compatExt spid="_x0000_s10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67</xdr:row>
          <xdr:rowOff>19050</xdr:rowOff>
        </xdr:from>
        <xdr:to>
          <xdr:col>2</xdr:col>
          <xdr:colOff>409575</xdr:colOff>
          <xdr:row>67</xdr:row>
          <xdr:rowOff>142875</xdr:rowOff>
        </xdr:to>
        <xdr:sp macro="" textlink="">
          <xdr:nvSpPr>
            <xdr:cNvPr id="1095" name="VarErr65" hidden="1">
              <a:extLst>
                <a:ext uri="{63B3BB69-23CF-44E3-9099-C40C66FF867C}">
                  <a14:compatExt spid="_x0000_s10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68</xdr:row>
          <xdr:rowOff>19050</xdr:rowOff>
        </xdr:from>
        <xdr:to>
          <xdr:col>2</xdr:col>
          <xdr:colOff>409575</xdr:colOff>
          <xdr:row>68</xdr:row>
          <xdr:rowOff>142875</xdr:rowOff>
        </xdr:to>
        <xdr:sp macro="" textlink="">
          <xdr:nvSpPr>
            <xdr:cNvPr id="1096" name="VarErr66" hidden="1">
              <a:extLst>
                <a:ext uri="{63B3BB69-23CF-44E3-9099-C40C66FF867C}">
                  <a14:compatExt spid="_x0000_s10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69</xdr:row>
          <xdr:rowOff>19050</xdr:rowOff>
        </xdr:from>
        <xdr:to>
          <xdr:col>2</xdr:col>
          <xdr:colOff>409575</xdr:colOff>
          <xdr:row>69</xdr:row>
          <xdr:rowOff>142875</xdr:rowOff>
        </xdr:to>
        <xdr:sp macro="" textlink="">
          <xdr:nvSpPr>
            <xdr:cNvPr id="1097" name="VarErr67" hidden="1">
              <a:extLst>
                <a:ext uri="{63B3BB69-23CF-44E3-9099-C40C66FF867C}">
                  <a14:compatExt spid="_x0000_s10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70</xdr:row>
          <xdr:rowOff>19050</xdr:rowOff>
        </xdr:from>
        <xdr:to>
          <xdr:col>2</xdr:col>
          <xdr:colOff>409575</xdr:colOff>
          <xdr:row>70</xdr:row>
          <xdr:rowOff>142875</xdr:rowOff>
        </xdr:to>
        <xdr:sp macro="" textlink="">
          <xdr:nvSpPr>
            <xdr:cNvPr id="1098" name="VarErr68" hidden="1">
              <a:extLst>
                <a:ext uri="{63B3BB69-23CF-44E3-9099-C40C66FF867C}">
                  <a14:compatExt spid="_x0000_s10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71</xdr:row>
          <xdr:rowOff>19050</xdr:rowOff>
        </xdr:from>
        <xdr:to>
          <xdr:col>2</xdr:col>
          <xdr:colOff>409575</xdr:colOff>
          <xdr:row>71</xdr:row>
          <xdr:rowOff>142875</xdr:rowOff>
        </xdr:to>
        <xdr:sp macro="" textlink="">
          <xdr:nvSpPr>
            <xdr:cNvPr id="1099" name="VarErr69" hidden="1">
              <a:extLst>
                <a:ext uri="{63B3BB69-23CF-44E3-9099-C40C66FF867C}">
                  <a14:compatExt spid="_x0000_s10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72</xdr:row>
          <xdr:rowOff>19050</xdr:rowOff>
        </xdr:from>
        <xdr:to>
          <xdr:col>2</xdr:col>
          <xdr:colOff>409575</xdr:colOff>
          <xdr:row>72</xdr:row>
          <xdr:rowOff>142875</xdr:rowOff>
        </xdr:to>
        <xdr:sp macro="" textlink="">
          <xdr:nvSpPr>
            <xdr:cNvPr id="1100" name="VarErr70" hidden="1">
              <a:extLst>
                <a:ext uri="{63B3BB69-23CF-44E3-9099-C40C66FF867C}">
                  <a14:compatExt spid="_x0000_s11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73</xdr:row>
          <xdr:rowOff>19050</xdr:rowOff>
        </xdr:from>
        <xdr:to>
          <xdr:col>2</xdr:col>
          <xdr:colOff>409575</xdr:colOff>
          <xdr:row>73</xdr:row>
          <xdr:rowOff>142875</xdr:rowOff>
        </xdr:to>
        <xdr:sp macro="" textlink="">
          <xdr:nvSpPr>
            <xdr:cNvPr id="1101" name="VarErr71" hidden="1">
              <a:extLst>
                <a:ext uri="{63B3BB69-23CF-44E3-9099-C40C66FF867C}">
                  <a14:compatExt spid="_x0000_s11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74</xdr:row>
          <xdr:rowOff>19050</xdr:rowOff>
        </xdr:from>
        <xdr:to>
          <xdr:col>2</xdr:col>
          <xdr:colOff>409575</xdr:colOff>
          <xdr:row>74</xdr:row>
          <xdr:rowOff>142875</xdr:rowOff>
        </xdr:to>
        <xdr:sp macro="" textlink="">
          <xdr:nvSpPr>
            <xdr:cNvPr id="1102" name="VarErr72" hidden="1">
              <a:extLst>
                <a:ext uri="{63B3BB69-23CF-44E3-9099-C40C66FF867C}">
                  <a14:compatExt spid="_x0000_s11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75</xdr:row>
          <xdr:rowOff>19050</xdr:rowOff>
        </xdr:from>
        <xdr:to>
          <xdr:col>2</xdr:col>
          <xdr:colOff>409575</xdr:colOff>
          <xdr:row>75</xdr:row>
          <xdr:rowOff>142875</xdr:rowOff>
        </xdr:to>
        <xdr:sp macro="" textlink="">
          <xdr:nvSpPr>
            <xdr:cNvPr id="1103" name="VarErr73" hidden="1">
              <a:extLst>
                <a:ext uri="{63B3BB69-23CF-44E3-9099-C40C66FF867C}">
                  <a14:compatExt spid="_x0000_s11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76</xdr:row>
          <xdr:rowOff>19050</xdr:rowOff>
        </xdr:from>
        <xdr:to>
          <xdr:col>2</xdr:col>
          <xdr:colOff>409575</xdr:colOff>
          <xdr:row>76</xdr:row>
          <xdr:rowOff>142875</xdr:rowOff>
        </xdr:to>
        <xdr:sp macro="" textlink="">
          <xdr:nvSpPr>
            <xdr:cNvPr id="1104" name="VarErr74" hidden="1">
              <a:extLst>
                <a:ext uri="{63B3BB69-23CF-44E3-9099-C40C66FF867C}">
                  <a14:compatExt spid="_x0000_s11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77</xdr:row>
          <xdr:rowOff>19050</xdr:rowOff>
        </xdr:from>
        <xdr:to>
          <xdr:col>2</xdr:col>
          <xdr:colOff>409575</xdr:colOff>
          <xdr:row>77</xdr:row>
          <xdr:rowOff>142875</xdr:rowOff>
        </xdr:to>
        <xdr:sp macro="" textlink="">
          <xdr:nvSpPr>
            <xdr:cNvPr id="1105" name="VarErr75" hidden="1">
              <a:extLst>
                <a:ext uri="{63B3BB69-23CF-44E3-9099-C40C66FF867C}">
                  <a14:compatExt spid="_x0000_s11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78</xdr:row>
          <xdr:rowOff>19050</xdr:rowOff>
        </xdr:from>
        <xdr:to>
          <xdr:col>2</xdr:col>
          <xdr:colOff>409575</xdr:colOff>
          <xdr:row>78</xdr:row>
          <xdr:rowOff>142875</xdr:rowOff>
        </xdr:to>
        <xdr:sp macro="" textlink="">
          <xdr:nvSpPr>
            <xdr:cNvPr id="1106" name="VarErr76" hidden="1">
              <a:extLst>
                <a:ext uri="{63B3BB69-23CF-44E3-9099-C40C66FF867C}">
                  <a14:compatExt spid="_x0000_s11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79</xdr:row>
          <xdr:rowOff>19050</xdr:rowOff>
        </xdr:from>
        <xdr:to>
          <xdr:col>2</xdr:col>
          <xdr:colOff>409575</xdr:colOff>
          <xdr:row>79</xdr:row>
          <xdr:rowOff>142875</xdr:rowOff>
        </xdr:to>
        <xdr:sp macro="" textlink="">
          <xdr:nvSpPr>
            <xdr:cNvPr id="1107" name="VarErr77" hidden="1">
              <a:extLst>
                <a:ext uri="{63B3BB69-23CF-44E3-9099-C40C66FF867C}">
                  <a14:compatExt spid="_x0000_s11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80</xdr:row>
          <xdr:rowOff>19050</xdr:rowOff>
        </xdr:from>
        <xdr:to>
          <xdr:col>2</xdr:col>
          <xdr:colOff>409575</xdr:colOff>
          <xdr:row>80</xdr:row>
          <xdr:rowOff>142875</xdr:rowOff>
        </xdr:to>
        <xdr:sp macro="" textlink="">
          <xdr:nvSpPr>
            <xdr:cNvPr id="1108" name="VarErr78" hidden="1">
              <a:extLst>
                <a:ext uri="{63B3BB69-23CF-44E3-9099-C40C66FF867C}">
                  <a14:compatExt spid="_x0000_s11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81</xdr:row>
          <xdr:rowOff>19050</xdr:rowOff>
        </xdr:from>
        <xdr:to>
          <xdr:col>2</xdr:col>
          <xdr:colOff>409575</xdr:colOff>
          <xdr:row>81</xdr:row>
          <xdr:rowOff>142875</xdr:rowOff>
        </xdr:to>
        <xdr:sp macro="" textlink="">
          <xdr:nvSpPr>
            <xdr:cNvPr id="1109" name="VarErr79" hidden="1">
              <a:extLst>
                <a:ext uri="{63B3BB69-23CF-44E3-9099-C40C66FF867C}">
                  <a14:compatExt spid="_x0000_s11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82</xdr:row>
          <xdr:rowOff>19050</xdr:rowOff>
        </xdr:from>
        <xdr:to>
          <xdr:col>2</xdr:col>
          <xdr:colOff>409575</xdr:colOff>
          <xdr:row>82</xdr:row>
          <xdr:rowOff>142875</xdr:rowOff>
        </xdr:to>
        <xdr:sp macro="" textlink="">
          <xdr:nvSpPr>
            <xdr:cNvPr id="1110" name="VarErr80" hidden="1">
              <a:extLst>
                <a:ext uri="{63B3BB69-23CF-44E3-9099-C40C66FF867C}">
                  <a14:compatExt spid="_x0000_s11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83</xdr:row>
          <xdr:rowOff>19050</xdr:rowOff>
        </xdr:from>
        <xdr:to>
          <xdr:col>2</xdr:col>
          <xdr:colOff>409575</xdr:colOff>
          <xdr:row>83</xdr:row>
          <xdr:rowOff>142875</xdr:rowOff>
        </xdr:to>
        <xdr:sp macro="" textlink="">
          <xdr:nvSpPr>
            <xdr:cNvPr id="1111" name="VarErr81" hidden="1">
              <a:extLst>
                <a:ext uri="{63B3BB69-23CF-44E3-9099-C40C66FF867C}">
                  <a14:compatExt spid="_x0000_s11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84</xdr:row>
          <xdr:rowOff>19050</xdr:rowOff>
        </xdr:from>
        <xdr:to>
          <xdr:col>2</xdr:col>
          <xdr:colOff>409575</xdr:colOff>
          <xdr:row>84</xdr:row>
          <xdr:rowOff>142875</xdr:rowOff>
        </xdr:to>
        <xdr:sp macro="" textlink="">
          <xdr:nvSpPr>
            <xdr:cNvPr id="1112" name="VarErr82" hidden="1">
              <a:extLst>
                <a:ext uri="{63B3BB69-23CF-44E3-9099-C40C66FF867C}">
                  <a14:compatExt spid="_x0000_s11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85</xdr:row>
          <xdr:rowOff>19050</xdr:rowOff>
        </xdr:from>
        <xdr:to>
          <xdr:col>2</xdr:col>
          <xdr:colOff>409575</xdr:colOff>
          <xdr:row>85</xdr:row>
          <xdr:rowOff>142875</xdr:rowOff>
        </xdr:to>
        <xdr:sp macro="" textlink="">
          <xdr:nvSpPr>
            <xdr:cNvPr id="1113" name="VarErr83" hidden="1">
              <a:extLst>
                <a:ext uri="{63B3BB69-23CF-44E3-9099-C40C66FF867C}">
                  <a14:compatExt spid="_x0000_s11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86</xdr:row>
          <xdr:rowOff>19050</xdr:rowOff>
        </xdr:from>
        <xdr:to>
          <xdr:col>2</xdr:col>
          <xdr:colOff>409575</xdr:colOff>
          <xdr:row>86</xdr:row>
          <xdr:rowOff>142875</xdr:rowOff>
        </xdr:to>
        <xdr:sp macro="" textlink="">
          <xdr:nvSpPr>
            <xdr:cNvPr id="1114" name="VarErr84" hidden="1">
              <a:extLst>
                <a:ext uri="{63B3BB69-23CF-44E3-9099-C40C66FF867C}">
                  <a14:compatExt spid="_x0000_s11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87</xdr:row>
          <xdr:rowOff>19050</xdr:rowOff>
        </xdr:from>
        <xdr:to>
          <xdr:col>2</xdr:col>
          <xdr:colOff>409575</xdr:colOff>
          <xdr:row>87</xdr:row>
          <xdr:rowOff>142875</xdr:rowOff>
        </xdr:to>
        <xdr:sp macro="" textlink="">
          <xdr:nvSpPr>
            <xdr:cNvPr id="1115" name="VarErr85" hidden="1">
              <a:extLst>
                <a:ext uri="{63B3BB69-23CF-44E3-9099-C40C66FF867C}">
                  <a14:compatExt spid="_x0000_s11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88</xdr:row>
          <xdr:rowOff>19050</xdr:rowOff>
        </xdr:from>
        <xdr:to>
          <xdr:col>2</xdr:col>
          <xdr:colOff>409575</xdr:colOff>
          <xdr:row>88</xdr:row>
          <xdr:rowOff>142875</xdr:rowOff>
        </xdr:to>
        <xdr:sp macro="" textlink="">
          <xdr:nvSpPr>
            <xdr:cNvPr id="1116" name="VarErr86" hidden="1">
              <a:extLst>
                <a:ext uri="{63B3BB69-23CF-44E3-9099-C40C66FF867C}">
                  <a14:compatExt spid="_x0000_s11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89</xdr:row>
          <xdr:rowOff>19050</xdr:rowOff>
        </xdr:from>
        <xdr:to>
          <xdr:col>2</xdr:col>
          <xdr:colOff>409575</xdr:colOff>
          <xdr:row>89</xdr:row>
          <xdr:rowOff>142875</xdr:rowOff>
        </xdr:to>
        <xdr:sp macro="" textlink="">
          <xdr:nvSpPr>
            <xdr:cNvPr id="1117" name="VarErr87" hidden="1">
              <a:extLst>
                <a:ext uri="{63B3BB69-23CF-44E3-9099-C40C66FF867C}">
                  <a14:compatExt spid="_x0000_s11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90</xdr:row>
          <xdr:rowOff>19050</xdr:rowOff>
        </xdr:from>
        <xdr:to>
          <xdr:col>2</xdr:col>
          <xdr:colOff>409575</xdr:colOff>
          <xdr:row>90</xdr:row>
          <xdr:rowOff>142875</xdr:rowOff>
        </xdr:to>
        <xdr:sp macro="" textlink="">
          <xdr:nvSpPr>
            <xdr:cNvPr id="1118" name="VarErr88" hidden="1">
              <a:extLst>
                <a:ext uri="{63B3BB69-23CF-44E3-9099-C40C66FF867C}">
                  <a14:compatExt spid="_x0000_s11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91</xdr:row>
          <xdr:rowOff>19050</xdr:rowOff>
        </xdr:from>
        <xdr:to>
          <xdr:col>2</xdr:col>
          <xdr:colOff>409575</xdr:colOff>
          <xdr:row>91</xdr:row>
          <xdr:rowOff>142875</xdr:rowOff>
        </xdr:to>
        <xdr:sp macro="" textlink="">
          <xdr:nvSpPr>
            <xdr:cNvPr id="1119" name="VarErr89" hidden="1">
              <a:extLst>
                <a:ext uri="{63B3BB69-23CF-44E3-9099-C40C66FF867C}">
                  <a14:compatExt spid="_x0000_s11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92</xdr:row>
          <xdr:rowOff>19050</xdr:rowOff>
        </xdr:from>
        <xdr:to>
          <xdr:col>2</xdr:col>
          <xdr:colOff>409575</xdr:colOff>
          <xdr:row>92</xdr:row>
          <xdr:rowOff>142875</xdr:rowOff>
        </xdr:to>
        <xdr:sp macro="" textlink="">
          <xdr:nvSpPr>
            <xdr:cNvPr id="1120" name="VarErr90" hidden="1">
              <a:extLst>
                <a:ext uri="{63B3BB69-23CF-44E3-9099-C40C66FF867C}">
                  <a14:compatExt spid="_x0000_s11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93</xdr:row>
          <xdr:rowOff>19050</xdr:rowOff>
        </xdr:from>
        <xdr:to>
          <xdr:col>2</xdr:col>
          <xdr:colOff>409575</xdr:colOff>
          <xdr:row>93</xdr:row>
          <xdr:rowOff>142875</xdr:rowOff>
        </xdr:to>
        <xdr:sp macro="" textlink="">
          <xdr:nvSpPr>
            <xdr:cNvPr id="1121" name="VarErr91" hidden="1">
              <a:extLst>
                <a:ext uri="{63B3BB69-23CF-44E3-9099-C40C66FF867C}">
                  <a14:compatExt spid="_x0000_s11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94</xdr:row>
          <xdr:rowOff>19050</xdr:rowOff>
        </xdr:from>
        <xdr:to>
          <xdr:col>2</xdr:col>
          <xdr:colOff>409575</xdr:colOff>
          <xdr:row>94</xdr:row>
          <xdr:rowOff>142875</xdr:rowOff>
        </xdr:to>
        <xdr:sp macro="" textlink="">
          <xdr:nvSpPr>
            <xdr:cNvPr id="1122" name="VarErr92" hidden="1">
              <a:extLst>
                <a:ext uri="{63B3BB69-23CF-44E3-9099-C40C66FF867C}">
                  <a14:compatExt spid="_x0000_s11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95</xdr:row>
          <xdr:rowOff>19050</xdr:rowOff>
        </xdr:from>
        <xdr:to>
          <xdr:col>2</xdr:col>
          <xdr:colOff>409575</xdr:colOff>
          <xdr:row>95</xdr:row>
          <xdr:rowOff>142875</xdr:rowOff>
        </xdr:to>
        <xdr:sp macro="" textlink="">
          <xdr:nvSpPr>
            <xdr:cNvPr id="1123" name="VarErr93" hidden="1">
              <a:extLst>
                <a:ext uri="{63B3BB69-23CF-44E3-9099-C40C66FF867C}">
                  <a14:compatExt spid="_x0000_s11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xdr:row>
          <xdr:rowOff>19050</xdr:rowOff>
        </xdr:from>
        <xdr:to>
          <xdr:col>3</xdr:col>
          <xdr:colOff>409575</xdr:colOff>
          <xdr:row>3</xdr:row>
          <xdr:rowOff>142875</xdr:rowOff>
        </xdr:to>
        <xdr:sp macro="" textlink="">
          <xdr:nvSpPr>
            <xdr:cNvPr id="1124" name="VarPreSelect1" hidden="1">
              <a:extLst>
                <a:ext uri="{63B3BB69-23CF-44E3-9099-C40C66FF867C}">
                  <a14:compatExt spid="_x0000_s11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xdr:row>
          <xdr:rowOff>19050</xdr:rowOff>
        </xdr:from>
        <xdr:to>
          <xdr:col>3</xdr:col>
          <xdr:colOff>409575</xdr:colOff>
          <xdr:row>4</xdr:row>
          <xdr:rowOff>142875</xdr:rowOff>
        </xdr:to>
        <xdr:sp macro="" textlink="">
          <xdr:nvSpPr>
            <xdr:cNvPr id="1125" name="VarPreSelect2" hidden="1">
              <a:extLst>
                <a:ext uri="{63B3BB69-23CF-44E3-9099-C40C66FF867C}">
                  <a14:compatExt spid="_x0000_s11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xdr:row>
          <xdr:rowOff>19050</xdr:rowOff>
        </xdr:from>
        <xdr:to>
          <xdr:col>3</xdr:col>
          <xdr:colOff>409575</xdr:colOff>
          <xdr:row>5</xdr:row>
          <xdr:rowOff>142875</xdr:rowOff>
        </xdr:to>
        <xdr:sp macro="" textlink="">
          <xdr:nvSpPr>
            <xdr:cNvPr id="1126" name="VarPreSelect3" hidden="1">
              <a:extLst>
                <a:ext uri="{63B3BB69-23CF-44E3-9099-C40C66FF867C}">
                  <a14:compatExt spid="_x0000_s11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xdr:row>
          <xdr:rowOff>19050</xdr:rowOff>
        </xdr:from>
        <xdr:to>
          <xdr:col>3</xdr:col>
          <xdr:colOff>409575</xdr:colOff>
          <xdr:row>6</xdr:row>
          <xdr:rowOff>142875</xdr:rowOff>
        </xdr:to>
        <xdr:sp macro="" textlink="">
          <xdr:nvSpPr>
            <xdr:cNvPr id="1127" name="VarPreSelect4" hidden="1">
              <a:extLst>
                <a:ext uri="{63B3BB69-23CF-44E3-9099-C40C66FF867C}">
                  <a14:compatExt spid="_x0000_s11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xdr:row>
          <xdr:rowOff>19050</xdr:rowOff>
        </xdr:from>
        <xdr:to>
          <xdr:col>3</xdr:col>
          <xdr:colOff>409575</xdr:colOff>
          <xdr:row>7</xdr:row>
          <xdr:rowOff>142875</xdr:rowOff>
        </xdr:to>
        <xdr:sp macro="" textlink="">
          <xdr:nvSpPr>
            <xdr:cNvPr id="1128" name="VarPreSelect5" hidden="1">
              <a:extLst>
                <a:ext uri="{63B3BB69-23CF-44E3-9099-C40C66FF867C}">
                  <a14:compatExt spid="_x0000_s11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xdr:row>
          <xdr:rowOff>19050</xdr:rowOff>
        </xdr:from>
        <xdr:to>
          <xdr:col>3</xdr:col>
          <xdr:colOff>409575</xdr:colOff>
          <xdr:row>8</xdr:row>
          <xdr:rowOff>142875</xdr:rowOff>
        </xdr:to>
        <xdr:sp macro="" textlink="">
          <xdr:nvSpPr>
            <xdr:cNvPr id="1129" name="VarPreSelect6" hidden="1">
              <a:extLst>
                <a:ext uri="{63B3BB69-23CF-44E3-9099-C40C66FF867C}">
                  <a14:compatExt spid="_x0000_s11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xdr:row>
          <xdr:rowOff>19050</xdr:rowOff>
        </xdr:from>
        <xdr:to>
          <xdr:col>3</xdr:col>
          <xdr:colOff>409575</xdr:colOff>
          <xdr:row>9</xdr:row>
          <xdr:rowOff>142875</xdr:rowOff>
        </xdr:to>
        <xdr:sp macro="" textlink="">
          <xdr:nvSpPr>
            <xdr:cNvPr id="1130" name="VarPreSelect7" hidden="1">
              <a:extLst>
                <a:ext uri="{63B3BB69-23CF-44E3-9099-C40C66FF867C}">
                  <a14:compatExt spid="_x0000_s11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10</xdr:row>
          <xdr:rowOff>19050</xdr:rowOff>
        </xdr:from>
        <xdr:to>
          <xdr:col>3</xdr:col>
          <xdr:colOff>409575</xdr:colOff>
          <xdr:row>10</xdr:row>
          <xdr:rowOff>142875</xdr:rowOff>
        </xdr:to>
        <xdr:sp macro="" textlink="">
          <xdr:nvSpPr>
            <xdr:cNvPr id="1131" name="VarPreSelect8" hidden="1">
              <a:extLst>
                <a:ext uri="{63B3BB69-23CF-44E3-9099-C40C66FF867C}">
                  <a14:compatExt spid="_x0000_s11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11</xdr:row>
          <xdr:rowOff>19050</xdr:rowOff>
        </xdr:from>
        <xdr:to>
          <xdr:col>3</xdr:col>
          <xdr:colOff>409575</xdr:colOff>
          <xdr:row>11</xdr:row>
          <xdr:rowOff>142875</xdr:rowOff>
        </xdr:to>
        <xdr:sp macro="" textlink="">
          <xdr:nvSpPr>
            <xdr:cNvPr id="1132" name="VarPreSelect9" hidden="1">
              <a:extLst>
                <a:ext uri="{63B3BB69-23CF-44E3-9099-C40C66FF867C}">
                  <a14:compatExt spid="_x0000_s11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12</xdr:row>
          <xdr:rowOff>19050</xdr:rowOff>
        </xdr:from>
        <xdr:to>
          <xdr:col>3</xdr:col>
          <xdr:colOff>409575</xdr:colOff>
          <xdr:row>12</xdr:row>
          <xdr:rowOff>142875</xdr:rowOff>
        </xdr:to>
        <xdr:sp macro="" textlink="">
          <xdr:nvSpPr>
            <xdr:cNvPr id="1133" name="VarPreSelect10" hidden="1">
              <a:extLst>
                <a:ext uri="{63B3BB69-23CF-44E3-9099-C40C66FF867C}">
                  <a14:compatExt spid="_x0000_s11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13</xdr:row>
          <xdr:rowOff>19050</xdr:rowOff>
        </xdr:from>
        <xdr:to>
          <xdr:col>3</xdr:col>
          <xdr:colOff>409575</xdr:colOff>
          <xdr:row>13</xdr:row>
          <xdr:rowOff>142875</xdr:rowOff>
        </xdr:to>
        <xdr:sp macro="" textlink="">
          <xdr:nvSpPr>
            <xdr:cNvPr id="1134" name="VarPreSelect11" hidden="1">
              <a:extLst>
                <a:ext uri="{63B3BB69-23CF-44E3-9099-C40C66FF867C}">
                  <a14:compatExt spid="_x0000_s11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14</xdr:row>
          <xdr:rowOff>19050</xdr:rowOff>
        </xdr:from>
        <xdr:to>
          <xdr:col>3</xdr:col>
          <xdr:colOff>409575</xdr:colOff>
          <xdr:row>14</xdr:row>
          <xdr:rowOff>142875</xdr:rowOff>
        </xdr:to>
        <xdr:sp macro="" textlink="">
          <xdr:nvSpPr>
            <xdr:cNvPr id="1135" name="VarPreSelect12" hidden="1">
              <a:extLst>
                <a:ext uri="{63B3BB69-23CF-44E3-9099-C40C66FF867C}">
                  <a14:compatExt spid="_x0000_s11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15</xdr:row>
          <xdr:rowOff>19050</xdr:rowOff>
        </xdr:from>
        <xdr:to>
          <xdr:col>3</xdr:col>
          <xdr:colOff>409575</xdr:colOff>
          <xdr:row>15</xdr:row>
          <xdr:rowOff>142875</xdr:rowOff>
        </xdr:to>
        <xdr:sp macro="" textlink="">
          <xdr:nvSpPr>
            <xdr:cNvPr id="1136" name="VarPreSelect13" hidden="1">
              <a:extLst>
                <a:ext uri="{63B3BB69-23CF-44E3-9099-C40C66FF867C}">
                  <a14:compatExt spid="_x0000_s11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16</xdr:row>
          <xdr:rowOff>19050</xdr:rowOff>
        </xdr:from>
        <xdr:to>
          <xdr:col>3</xdr:col>
          <xdr:colOff>409575</xdr:colOff>
          <xdr:row>16</xdr:row>
          <xdr:rowOff>142875</xdr:rowOff>
        </xdr:to>
        <xdr:sp macro="" textlink="">
          <xdr:nvSpPr>
            <xdr:cNvPr id="1137" name="VarPreSelect14" hidden="1">
              <a:extLst>
                <a:ext uri="{63B3BB69-23CF-44E3-9099-C40C66FF867C}">
                  <a14:compatExt spid="_x0000_s11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17</xdr:row>
          <xdr:rowOff>19050</xdr:rowOff>
        </xdr:from>
        <xdr:to>
          <xdr:col>3</xdr:col>
          <xdr:colOff>409575</xdr:colOff>
          <xdr:row>17</xdr:row>
          <xdr:rowOff>142875</xdr:rowOff>
        </xdr:to>
        <xdr:sp macro="" textlink="">
          <xdr:nvSpPr>
            <xdr:cNvPr id="1138" name="VarPreSelect15" hidden="1">
              <a:extLst>
                <a:ext uri="{63B3BB69-23CF-44E3-9099-C40C66FF867C}">
                  <a14:compatExt spid="_x0000_s11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18</xdr:row>
          <xdr:rowOff>19050</xdr:rowOff>
        </xdr:from>
        <xdr:to>
          <xdr:col>3</xdr:col>
          <xdr:colOff>409575</xdr:colOff>
          <xdr:row>18</xdr:row>
          <xdr:rowOff>142875</xdr:rowOff>
        </xdr:to>
        <xdr:sp macro="" textlink="">
          <xdr:nvSpPr>
            <xdr:cNvPr id="1139" name="VarPreSelect16" hidden="1">
              <a:extLst>
                <a:ext uri="{63B3BB69-23CF-44E3-9099-C40C66FF867C}">
                  <a14:compatExt spid="_x0000_s11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19</xdr:row>
          <xdr:rowOff>19050</xdr:rowOff>
        </xdr:from>
        <xdr:to>
          <xdr:col>3</xdr:col>
          <xdr:colOff>409575</xdr:colOff>
          <xdr:row>19</xdr:row>
          <xdr:rowOff>142875</xdr:rowOff>
        </xdr:to>
        <xdr:sp macro="" textlink="">
          <xdr:nvSpPr>
            <xdr:cNvPr id="1140" name="VarPreSelect17" hidden="1">
              <a:extLst>
                <a:ext uri="{63B3BB69-23CF-44E3-9099-C40C66FF867C}">
                  <a14:compatExt spid="_x0000_s11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20</xdr:row>
          <xdr:rowOff>19050</xdr:rowOff>
        </xdr:from>
        <xdr:to>
          <xdr:col>3</xdr:col>
          <xdr:colOff>409575</xdr:colOff>
          <xdr:row>20</xdr:row>
          <xdr:rowOff>142875</xdr:rowOff>
        </xdr:to>
        <xdr:sp macro="" textlink="">
          <xdr:nvSpPr>
            <xdr:cNvPr id="1141" name="VarPreSelect18" hidden="1">
              <a:extLst>
                <a:ext uri="{63B3BB69-23CF-44E3-9099-C40C66FF867C}">
                  <a14:compatExt spid="_x0000_s11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21</xdr:row>
          <xdr:rowOff>19050</xdr:rowOff>
        </xdr:from>
        <xdr:to>
          <xdr:col>3</xdr:col>
          <xdr:colOff>409575</xdr:colOff>
          <xdr:row>21</xdr:row>
          <xdr:rowOff>142875</xdr:rowOff>
        </xdr:to>
        <xdr:sp macro="" textlink="">
          <xdr:nvSpPr>
            <xdr:cNvPr id="1142" name="VarPreSelect19" hidden="1">
              <a:extLst>
                <a:ext uri="{63B3BB69-23CF-44E3-9099-C40C66FF867C}">
                  <a14:compatExt spid="_x0000_s11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22</xdr:row>
          <xdr:rowOff>19050</xdr:rowOff>
        </xdr:from>
        <xdr:to>
          <xdr:col>3</xdr:col>
          <xdr:colOff>409575</xdr:colOff>
          <xdr:row>22</xdr:row>
          <xdr:rowOff>142875</xdr:rowOff>
        </xdr:to>
        <xdr:sp macro="" textlink="">
          <xdr:nvSpPr>
            <xdr:cNvPr id="1143" name="VarPreSelect20" hidden="1">
              <a:extLst>
                <a:ext uri="{63B3BB69-23CF-44E3-9099-C40C66FF867C}">
                  <a14:compatExt spid="_x0000_s11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23</xdr:row>
          <xdr:rowOff>19050</xdr:rowOff>
        </xdr:from>
        <xdr:to>
          <xdr:col>3</xdr:col>
          <xdr:colOff>409575</xdr:colOff>
          <xdr:row>23</xdr:row>
          <xdr:rowOff>142875</xdr:rowOff>
        </xdr:to>
        <xdr:sp macro="" textlink="">
          <xdr:nvSpPr>
            <xdr:cNvPr id="1144" name="VarPreSelect21" hidden="1">
              <a:extLst>
                <a:ext uri="{63B3BB69-23CF-44E3-9099-C40C66FF867C}">
                  <a14:compatExt spid="_x0000_s11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24</xdr:row>
          <xdr:rowOff>19050</xdr:rowOff>
        </xdr:from>
        <xdr:to>
          <xdr:col>3</xdr:col>
          <xdr:colOff>409575</xdr:colOff>
          <xdr:row>24</xdr:row>
          <xdr:rowOff>142875</xdr:rowOff>
        </xdr:to>
        <xdr:sp macro="" textlink="">
          <xdr:nvSpPr>
            <xdr:cNvPr id="1145" name="VarPreSelect22" hidden="1">
              <a:extLst>
                <a:ext uri="{63B3BB69-23CF-44E3-9099-C40C66FF867C}">
                  <a14:compatExt spid="_x0000_s11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25</xdr:row>
          <xdr:rowOff>19050</xdr:rowOff>
        </xdr:from>
        <xdr:to>
          <xdr:col>3</xdr:col>
          <xdr:colOff>409575</xdr:colOff>
          <xdr:row>25</xdr:row>
          <xdr:rowOff>142875</xdr:rowOff>
        </xdr:to>
        <xdr:sp macro="" textlink="">
          <xdr:nvSpPr>
            <xdr:cNvPr id="1146" name="VarPreSelect23" hidden="1">
              <a:extLst>
                <a:ext uri="{63B3BB69-23CF-44E3-9099-C40C66FF867C}">
                  <a14:compatExt spid="_x0000_s11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26</xdr:row>
          <xdr:rowOff>19050</xdr:rowOff>
        </xdr:from>
        <xdr:to>
          <xdr:col>3</xdr:col>
          <xdr:colOff>409575</xdr:colOff>
          <xdr:row>26</xdr:row>
          <xdr:rowOff>142875</xdr:rowOff>
        </xdr:to>
        <xdr:sp macro="" textlink="">
          <xdr:nvSpPr>
            <xdr:cNvPr id="1147" name="VarPreSelect24" hidden="1">
              <a:extLst>
                <a:ext uri="{63B3BB69-23CF-44E3-9099-C40C66FF867C}">
                  <a14:compatExt spid="_x0000_s11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27</xdr:row>
          <xdr:rowOff>19050</xdr:rowOff>
        </xdr:from>
        <xdr:to>
          <xdr:col>3</xdr:col>
          <xdr:colOff>409575</xdr:colOff>
          <xdr:row>27</xdr:row>
          <xdr:rowOff>142875</xdr:rowOff>
        </xdr:to>
        <xdr:sp macro="" textlink="">
          <xdr:nvSpPr>
            <xdr:cNvPr id="1148" name="VarPreSelect25" hidden="1">
              <a:extLst>
                <a:ext uri="{63B3BB69-23CF-44E3-9099-C40C66FF867C}">
                  <a14:compatExt spid="_x0000_s11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28</xdr:row>
          <xdr:rowOff>19050</xdr:rowOff>
        </xdr:from>
        <xdr:to>
          <xdr:col>3</xdr:col>
          <xdr:colOff>409575</xdr:colOff>
          <xdr:row>28</xdr:row>
          <xdr:rowOff>142875</xdr:rowOff>
        </xdr:to>
        <xdr:sp macro="" textlink="">
          <xdr:nvSpPr>
            <xdr:cNvPr id="1149" name="VarPreSelect26" hidden="1">
              <a:extLst>
                <a:ext uri="{63B3BB69-23CF-44E3-9099-C40C66FF867C}">
                  <a14:compatExt spid="_x0000_s11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29</xdr:row>
          <xdr:rowOff>19050</xdr:rowOff>
        </xdr:from>
        <xdr:to>
          <xdr:col>3</xdr:col>
          <xdr:colOff>409575</xdr:colOff>
          <xdr:row>29</xdr:row>
          <xdr:rowOff>142875</xdr:rowOff>
        </xdr:to>
        <xdr:sp macro="" textlink="">
          <xdr:nvSpPr>
            <xdr:cNvPr id="1150" name="VarPreSelect27" hidden="1">
              <a:extLst>
                <a:ext uri="{63B3BB69-23CF-44E3-9099-C40C66FF867C}">
                  <a14:compatExt spid="_x0000_s11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30</xdr:row>
          <xdr:rowOff>19050</xdr:rowOff>
        </xdr:from>
        <xdr:to>
          <xdr:col>3</xdr:col>
          <xdr:colOff>409575</xdr:colOff>
          <xdr:row>30</xdr:row>
          <xdr:rowOff>142875</xdr:rowOff>
        </xdr:to>
        <xdr:sp macro="" textlink="">
          <xdr:nvSpPr>
            <xdr:cNvPr id="1151" name="VarPreSelect28" hidden="1">
              <a:extLst>
                <a:ext uri="{63B3BB69-23CF-44E3-9099-C40C66FF867C}">
                  <a14:compatExt spid="_x0000_s11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31</xdr:row>
          <xdr:rowOff>19050</xdr:rowOff>
        </xdr:from>
        <xdr:to>
          <xdr:col>3</xdr:col>
          <xdr:colOff>409575</xdr:colOff>
          <xdr:row>31</xdr:row>
          <xdr:rowOff>142875</xdr:rowOff>
        </xdr:to>
        <xdr:sp macro="" textlink="">
          <xdr:nvSpPr>
            <xdr:cNvPr id="1152" name="VarPreSelect29" hidden="1">
              <a:extLst>
                <a:ext uri="{63B3BB69-23CF-44E3-9099-C40C66FF867C}">
                  <a14:compatExt spid="_x0000_s11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32</xdr:row>
          <xdr:rowOff>19050</xdr:rowOff>
        </xdr:from>
        <xdr:to>
          <xdr:col>3</xdr:col>
          <xdr:colOff>409575</xdr:colOff>
          <xdr:row>32</xdr:row>
          <xdr:rowOff>142875</xdr:rowOff>
        </xdr:to>
        <xdr:sp macro="" textlink="">
          <xdr:nvSpPr>
            <xdr:cNvPr id="1153" name="VarPreSelect30" hidden="1">
              <a:extLst>
                <a:ext uri="{63B3BB69-23CF-44E3-9099-C40C66FF867C}">
                  <a14:compatExt spid="_x0000_s11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33</xdr:row>
          <xdr:rowOff>19050</xdr:rowOff>
        </xdr:from>
        <xdr:to>
          <xdr:col>3</xdr:col>
          <xdr:colOff>409575</xdr:colOff>
          <xdr:row>33</xdr:row>
          <xdr:rowOff>142875</xdr:rowOff>
        </xdr:to>
        <xdr:sp macro="" textlink="">
          <xdr:nvSpPr>
            <xdr:cNvPr id="1154" name="VarPreSelect31" hidden="1">
              <a:extLst>
                <a:ext uri="{63B3BB69-23CF-44E3-9099-C40C66FF867C}">
                  <a14:compatExt spid="_x0000_s11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34</xdr:row>
          <xdr:rowOff>19050</xdr:rowOff>
        </xdr:from>
        <xdr:to>
          <xdr:col>3</xdr:col>
          <xdr:colOff>409575</xdr:colOff>
          <xdr:row>34</xdr:row>
          <xdr:rowOff>142875</xdr:rowOff>
        </xdr:to>
        <xdr:sp macro="" textlink="">
          <xdr:nvSpPr>
            <xdr:cNvPr id="1155" name="VarPreSelect32" hidden="1">
              <a:extLst>
                <a:ext uri="{63B3BB69-23CF-44E3-9099-C40C66FF867C}">
                  <a14:compatExt spid="_x0000_s11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35</xdr:row>
          <xdr:rowOff>19050</xdr:rowOff>
        </xdr:from>
        <xdr:to>
          <xdr:col>3</xdr:col>
          <xdr:colOff>409575</xdr:colOff>
          <xdr:row>35</xdr:row>
          <xdr:rowOff>142875</xdr:rowOff>
        </xdr:to>
        <xdr:sp macro="" textlink="">
          <xdr:nvSpPr>
            <xdr:cNvPr id="1156" name="VarPreSelect33" hidden="1">
              <a:extLst>
                <a:ext uri="{63B3BB69-23CF-44E3-9099-C40C66FF867C}">
                  <a14:compatExt spid="_x0000_s11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36</xdr:row>
          <xdr:rowOff>19050</xdr:rowOff>
        </xdr:from>
        <xdr:to>
          <xdr:col>3</xdr:col>
          <xdr:colOff>409575</xdr:colOff>
          <xdr:row>36</xdr:row>
          <xdr:rowOff>142875</xdr:rowOff>
        </xdr:to>
        <xdr:sp macro="" textlink="">
          <xdr:nvSpPr>
            <xdr:cNvPr id="1157" name="VarPreSelect34" hidden="1">
              <a:extLst>
                <a:ext uri="{63B3BB69-23CF-44E3-9099-C40C66FF867C}">
                  <a14:compatExt spid="_x0000_s11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37</xdr:row>
          <xdr:rowOff>19050</xdr:rowOff>
        </xdr:from>
        <xdr:to>
          <xdr:col>3</xdr:col>
          <xdr:colOff>409575</xdr:colOff>
          <xdr:row>37</xdr:row>
          <xdr:rowOff>142875</xdr:rowOff>
        </xdr:to>
        <xdr:sp macro="" textlink="">
          <xdr:nvSpPr>
            <xdr:cNvPr id="1158" name="VarPreSelect35" hidden="1">
              <a:extLst>
                <a:ext uri="{63B3BB69-23CF-44E3-9099-C40C66FF867C}">
                  <a14:compatExt spid="_x0000_s11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38</xdr:row>
          <xdr:rowOff>19050</xdr:rowOff>
        </xdr:from>
        <xdr:to>
          <xdr:col>3</xdr:col>
          <xdr:colOff>409575</xdr:colOff>
          <xdr:row>38</xdr:row>
          <xdr:rowOff>142875</xdr:rowOff>
        </xdr:to>
        <xdr:sp macro="" textlink="">
          <xdr:nvSpPr>
            <xdr:cNvPr id="1159" name="VarPreSelect36" hidden="1">
              <a:extLst>
                <a:ext uri="{63B3BB69-23CF-44E3-9099-C40C66FF867C}">
                  <a14:compatExt spid="_x0000_s11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39</xdr:row>
          <xdr:rowOff>19050</xdr:rowOff>
        </xdr:from>
        <xdr:to>
          <xdr:col>3</xdr:col>
          <xdr:colOff>409575</xdr:colOff>
          <xdr:row>39</xdr:row>
          <xdr:rowOff>142875</xdr:rowOff>
        </xdr:to>
        <xdr:sp macro="" textlink="">
          <xdr:nvSpPr>
            <xdr:cNvPr id="1160" name="VarPreSelect37" hidden="1">
              <a:extLst>
                <a:ext uri="{63B3BB69-23CF-44E3-9099-C40C66FF867C}">
                  <a14:compatExt spid="_x0000_s11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40</xdr:row>
          <xdr:rowOff>19050</xdr:rowOff>
        </xdr:from>
        <xdr:to>
          <xdr:col>3</xdr:col>
          <xdr:colOff>409575</xdr:colOff>
          <xdr:row>40</xdr:row>
          <xdr:rowOff>142875</xdr:rowOff>
        </xdr:to>
        <xdr:sp macro="" textlink="">
          <xdr:nvSpPr>
            <xdr:cNvPr id="1161" name="VarPreSelect38" hidden="1">
              <a:extLst>
                <a:ext uri="{63B3BB69-23CF-44E3-9099-C40C66FF867C}">
                  <a14:compatExt spid="_x0000_s11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41</xdr:row>
          <xdr:rowOff>19050</xdr:rowOff>
        </xdr:from>
        <xdr:to>
          <xdr:col>3</xdr:col>
          <xdr:colOff>409575</xdr:colOff>
          <xdr:row>41</xdr:row>
          <xdr:rowOff>142875</xdr:rowOff>
        </xdr:to>
        <xdr:sp macro="" textlink="">
          <xdr:nvSpPr>
            <xdr:cNvPr id="1162" name="VarPreSelect39" hidden="1">
              <a:extLst>
                <a:ext uri="{63B3BB69-23CF-44E3-9099-C40C66FF867C}">
                  <a14:compatExt spid="_x0000_s11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42</xdr:row>
          <xdr:rowOff>19050</xdr:rowOff>
        </xdr:from>
        <xdr:to>
          <xdr:col>3</xdr:col>
          <xdr:colOff>409575</xdr:colOff>
          <xdr:row>42</xdr:row>
          <xdr:rowOff>142875</xdr:rowOff>
        </xdr:to>
        <xdr:sp macro="" textlink="">
          <xdr:nvSpPr>
            <xdr:cNvPr id="1163" name="VarPreSelect40" hidden="1">
              <a:extLst>
                <a:ext uri="{63B3BB69-23CF-44E3-9099-C40C66FF867C}">
                  <a14:compatExt spid="_x0000_s11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43</xdr:row>
          <xdr:rowOff>19050</xdr:rowOff>
        </xdr:from>
        <xdr:to>
          <xdr:col>3</xdr:col>
          <xdr:colOff>409575</xdr:colOff>
          <xdr:row>43</xdr:row>
          <xdr:rowOff>142875</xdr:rowOff>
        </xdr:to>
        <xdr:sp macro="" textlink="">
          <xdr:nvSpPr>
            <xdr:cNvPr id="1164" name="VarPreSelect41" hidden="1">
              <a:extLst>
                <a:ext uri="{63B3BB69-23CF-44E3-9099-C40C66FF867C}">
                  <a14:compatExt spid="_x0000_s11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44</xdr:row>
          <xdr:rowOff>19050</xdr:rowOff>
        </xdr:from>
        <xdr:to>
          <xdr:col>3</xdr:col>
          <xdr:colOff>409575</xdr:colOff>
          <xdr:row>44</xdr:row>
          <xdr:rowOff>142875</xdr:rowOff>
        </xdr:to>
        <xdr:sp macro="" textlink="">
          <xdr:nvSpPr>
            <xdr:cNvPr id="1165" name="VarPreSelect42" hidden="1">
              <a:extLst>
                <a:ext uri="{63B3BB69-23CF-44E3-9099-C40C66FF867C}">
                  <a14:compatExt spid="_x0000_s11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45</xdr:row>
          <xdr:rowOff>19050</xdr:rowOff>
        </xdr:from>
        <xdr:to>
          <xdr:col>3</xdr:col>
          <xdr:colOff>409575</xdr:colOff>
          <xdr:row>45</xdr:row>
          <xdr:rowOff>142875</xdr:rowOff>
        </xdr:to>
        <xdr:sp macro="" textlink="">
          <xdr:nvSpPr>
            <xdr:cNvPr id="1166" name="VarPreSelect43" hidden="1">
              <a:extLst>
                <a:ext uri="{63B3BB69-23CF-44E3-9099-C40C66FF867C}">
                  <a14:compatExt spid="_x0000_s11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46</xdr:row>
          <xdr:rowOff>19050</xdr:rowOff>
        </xdr:from>
        <xdr:to>
          <xdr:col>3</xdr:col>
          <xdr:colOff>409575</xdr:colOff>
          <xdr:row>46</xdr:row>
          <xdr:rowOff>142875</xdr:rowOff>
        </xdr:to>
        <xdr:sp macro="" textlink="">
          <xdr:nvSpPr>
            <xdr:cNvPr id="1167" name="VarPreSelect44" hidden="1">
              <a:extLst>
                <a:ext uri="{63B3BB69-23CF-44E3-9099-C40C66FF867C}">
                  <a14:compatExt spid="_x0000_s11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47</xdr:row>
          <xdr:rowOff>19050</xdr:rowOff>
        </xdr:from>
        <xdr:to>
          <xdr:col>3</xdr:col>
          <xdr:colOff>409575</xdr:colOff>
          <xdr:row>47</xdr:row>
          <xdr:rowOff>142875</xdr:rowOff>
        </xdr:to>
        <xdr:sp macro="" textlink="">
          <xdr:nvSpPr>
            <xdr:cNvPr id="1168" name="VarPreSelect45" hidden="1">
              <a:extLst>
                <a:ext uri="{63B3BB69-23CF-44E3-9099-C40C66FF867C}">
                  <a14:compatExt spid="_x0000_s11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48</xdr:row>
          <xdr:rowOff>19050</xdr:rowOff>
        </xdr:from>
        <xdr:to>
          <xdr:col>3</xdr:col>
          <xdr:colOff>409575</xdr:colOff>
          <xdr:row>48</xdr:row>
          <xdr:rowOff>142875</xdr:rowOff>
        </xdr:to>
        <xdr:sp macro="" textlink="">
          <xdr:nvSpPr>
            <xdr:cNvPr id="1169" name="VarPreSelect46" hidden="1">
              <a:extLst>
                <a:ext uri="{63B3BB69-23CF-44E3-9099-C40C66FF867C}">
                  <a14:compatExt spid="_x0000_s11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49</xdr:row>
          <xdr:rowOff>19050</xdr:rowOff>
        </xdr:from>
        <xdr:to>
          <xdr:col>3</xdr:col>
          <xdr:colOff>409575</xdr:colOff>
          <xdr:row>49</xdr:row>
          <xdr:rowOff>142875</xdr:rowOff>
        </xdr:to>
        <xdr:sp macro="" textlink="">
          <xdr:nvSpPr>
            <xdr:cNvPr id="1170" name="VarPreSelect47" hidden="1">
              <a:extLst>
                <a:ext uri="{63B3BB69-23CF-44E3-9099-C40C66FF867C}">
                  <a14:compatExt spid="_x0000_s11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50</xdr:row>
          <xdr:rowOff>19050</xdr:rowOff>
        </xdr:from>
        <xdr:to>
          <xdr:col>3</xdr:col>
          <xdr:colOff>409575</xdr:colOff>
          <xdr:row>50</xdr:row>
          <xdr:rowOff>142875</xdr:rowOff>
        </xdr:to>
        <xdr:sp macro="" textlink="">
          <xdr:nvSpPr>
            <xdr:cNvPr id="1171" name="VarPreSelect48" hidden="1">
              <a:extLst>
                <a:ext uri="{63B3BB69-23CF-44E3-9099-C40C66FF867C}">
                  <a14:compatExt spid="_x0000_s11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51</xdr:row>
          <xdr:rowOff>19050</xdr:rowOff>
        </xdr:from>
        <xdr:to>
          <xdr:col>3</xdr:col>
          <xdr:colOff>409575</xdr:colOff>
          <xdr:row>51</xdr:row>
          <xdr:rowOff>142875</xdr:rowOff>
        </xdr:to>
        <xdr:sp macro="" textlink="">
          <xdr:nvSpPr>
            <xdr:cNvPr id="1172" name="VarPreSelect49" hidden="1">
              <a:extLst>
                <a:ext uri="{63B3BB69-23CF-44E3-9099-C40C66FF867C}">
                  <a14:compatExt spid="_x0000_s11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52</xdr:row>
          <xdr:rowOff>19050</xdr:rowOff>
        </xdr:from>
        <xdr:to>
          <xdr:col>3</xdr:col>
          <xdr:colOff>409575</xdr:colOff>
          <xdr:row>52</xdr:row>
          <xdr:rowOff>142875</xdr:rowOff>
        </xdr:to>
        <xdr:sp macro="" textlink="">
          <xdr:nvSpPr>
            <xdr:cNvPr id="1173" name="VarPreSelect50" hidden="1">
              <a:extLst>
                <a:ext uri="{63B3BB69-23CF-44E3-9099-C40C66FF867C}">
                  <a14:compatExt spid="_x0000_s11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53</xdr:row>
          <xdr:rowOff>19050</xdr:rowOff>
        </xdr:from>
        <xdr:to>
          <xdr:col>3</xdr:col>
          <xdr:colOff>409575</xdr:colOff>
          <xdr:row>53</xdr:row>
          <xdr:rowOff>142875</xdr:rowOff>
        </xdr:to>
        <xdr:sp macro="" textlink="">
          <xdr:nvSpPr>
            <xdr:cNvPr id="1174" name="VarPreSelect51" hidden="1">
              <a:extLst>
                <a:ext uri="{63B3BB69-23CF-44E3-9099-C40C66FF867C}">
                  <a14:compatExt spid="_x0000_s11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54</xdr:row>
          <xdr:rowOff>19050</xdr:rowOff>
        </xdr:from>
        <xdr:to>
          <xdr:col>3</xdr:col>
          <xdr:colOff>409575</xdr:colOff>
          <xdr:row>54</xdr:row>
          <xdr:rowOff>142875</xdr:rowOff>
        </xdr:to>
        <xdr:sp macro="" textlink="">
          <xdr:nvSpPr>
            <xdr:cNvPr id="1175" name="VarPreSelect52" hidden="1">
              <a:extLst>
                <a:ext uri="{63B3BB69-23CF-44E3-9099-C40C66FF867C}">
                  <a14:compatExt spid="_x0000_s11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55</xdr:row>
          <xdr:rowOff>19050</xdr:rowOff>
        </xdr:from>
        <xdr:to>
          <xdr:col>3</xdr:col>
          <xdr:colOff>409575</xdr:colOff>
          <xdr:row>55</xdr:row>
          <xdr:rowOff>142875</xdr:rowOff>
        </xdr:to>
        <xdr:sp macro="" textlink="">
          <xdr:nvSpPr>
            <xdr:cNvPr id="1176" name="VarPreSelect53" hidden="1">
              <a:extLst>
                <a:ext uri="{63B3BB69-23CF-44E3-9099-C40C66FF867C}">
                  <a14:compatExt spid="_x0000_s11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56</xdr:row>
          <xdr:rowOff>19050</xdr:rowOff>
        </xdr:from>
        <xdr:to>
          <xdr:col>3</xdr:col>
          <xdr:colOff>409575</xdr:colOff>
          <xdr:row>56</xdr:row>
          <xdr:rowOff>142875</xdr:rowOff>
        </xdr:to>
        <xdr:sp macro="" textlink="">
          <xdr:nvSpPr>
            <xdr:cNvPr id="1177" name="VarPreSelect54" hidden="1">
              <a:extLst>
                <a:ext uri="{63B3BB69-23CF-44E3-9099-C40C66FF867C}">
                  <a14:compatExt spid="_x0000_s11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57</xdr:row>
          <xdr:rowOff>19050</xdr:rowOff>
        </xdr:from>
        <xdr:to>
          <xdr:col>3</xdr:col>
          <xdr:colOff>409575</xdr:colOff>
          <xdr:row>57</xdr:row>
          <xdr:rowOff>142875</xdr:rowOff>
        </xdr:to>
        <xdr:sp macro="" textlink="">
          <xdr:nvSpPr>
            <xdr:cNvPr id="1178" name="VarPreSelect55" hidden="1">
              <a:extLst>
                <a:ext uri="{63B3BB69-23CF-44E3-9099-C40C66FF867C}">
                  <a14:compatExt spid="_x0000_s11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58</xdr:row>
          <xdr:rowOff>19050</xdr:rowOff>
        </xdr:from>
        <xdr:to>
          <xdr:col>3</xdr:col>
          <xdr:colOff>409575</xdr:colOff>
          <xdr:row>58</xdr:row>
          <xdr:rowOff>142875</xdr:rowOff>
        </xdr:to>
        <xdr:sp macro="" textlink="">
          <xdr:nvSpPr>
            <xdr:cNvPr id="1179" name="VarPreSelect56" hidden="1">
              <a:extLst>
                <a:ext uri="{63B3BB69-23CF-44E3-9099-C40C66FF867C}">
                  <a14:compatExt spid="_x0000_s11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59</xdr:row>
          <xdr:rowOff>19050</xdr:rowOff>
        </xdr:from>
        <xdr:to>
          <xdr:col>3</xdr:col>
          <xdr:colOff>409575</xdr:colOff>
          <xdr:row>59</xdr:row>
          <xdr:rowOff>142875</xdr:rowOff>
        </xdr:to>
        <xdr:sp macro="" textlink="">
          <xdr:nvSpPr>
            <xdr:cNvPr id="1180" name="VarPreSelect57" hidden="1">
              <a:extLst>
                <a:ext uri="{63B3BB69-23CF-44E3-9099-C40C66FF867C}">
                  <a14:compatExt spid="_x0000_s11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60</xdr:row>
          <xdr:rowOff>19050</xdr:rowOff>
        </xdr:from>
        <xdr:to>
          <xdr:col>3</xdr:col>
          <xdr:colOff>409575</xdr:colOff>
          <xdr:row>60</xdr:row>
          <xdr:rowOff>142875</xdr:rowOff>
        </xdr:to>
        <xdr:sp macro="" textlink="">
          <xdr:nvSpPr>
            <xdr:cNvPr id="1181" name="VarPreSelect58" hidden="1">
              <a:extLst>
                <a:ext uri="{63B3BB69-23CF-44E3-9099-C40C66FF867C}">
                  <a14:compatExt spid="_x0000_s11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61</xdr:row>
          <xdr:rowOff>19050</xdr:rowOff>
        </xdr:from>
        <xdr:to>
          <xdr:col>3</xdr:col>
          <xdr:colOff>409575</xdr:colOff>
          <xdr:row>61</xdr:row>
          <xdr:rowOff>142875</xdr:rowOff>
        </xdr:to>
        <xdr:sp macro="" textlink="">
          <xdr:nvSpPr>
            <xdr:cNvPr id="1182" name="VarPreSelect59" hidden="1">
              <a:extLst>
                <a:ext uri="{63B3BB69-23CF-44E3-9099-C40C66FF867C}">
                  <a14:compatExt spid="_x0000_s11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62</xdr:row>
          <xdr:rowOff>19050</xdr:rowOff>
        </xdr:from>
        <xdr:to>
          <xdr:col>3</xdr:col>
          <xdr:colOff>409575</xdr:colOff>
          <xdr:row>62</xdr:row>
          <xdr:rowOff>142875</xdr:rowOff>
        </xdr:to>
        <xdr:sp macro="" textlink="">
          <xdr:nvSpPr>
            <xdr:cNvPr id="1183" name="VarPreSelect60" hidden="1">
              <a:extLst>
                <a:ext uri="{63B3BB69-23CF-44E3-9099-C40C66FF867C}">
                  <a14:compatExt spid="_x0000_s11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63</xdr:row>
          <xdr:rowOff>19050</xdr:rowOff>
        </xdr:from>
        <xdr:to>
          <xdr:col>3</xdr:col>
          <xdr:colOff>409575</xdr:colOff>
          <xdr:row>63</xdr:row>
          <xdr:rowOff>142875</xdr:rowOff>
        </xdr:to>
        <xdr:sp macro="" textlink="">
          <xdr:nvSpPr>
            <xdr:cNvPr id="1184" name="VarPreSelect61" hidden="1">
              <a:extLst>
                <a:ext uri="{63B3BB69-23CF-44E3-9099-C40C66FF867C}">
                  <a14:compatExt spid="_x0000_s11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64</xdr:row>
          <xdr:rowOff>19050</xdr:rowOff>
        </xdr:from>
        <xdr:to>
          <xdr:col>3</xdr:col>
          <xdr:colOff>409575</xdr:colOff>
          <xdr:row>64</xdr:row>
          <xdr:rowOff>142875</xdr:rowOff>
        </xdr:to>
        <xdr:sp macro="" textlink="">
          <xdr:nvSpPr>
            <xdr:cNvPr id="1185" name="VarPreSelect62" hidden="1">
              <a:extLst>
                <a:ext uri="{63B3BB69-23CF-44E3-9099-C40C66FF867C}">
                  <a14:compatExt spid="_x0000_s11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65</xdr:row>
          <xdr:rowOff>19050</xdr:rowOff>
        </xdr:from>
        <xdr:to>
          <xdr:col>3</xdr:col>
          <xdr:colOff>409575</xdr:colOff>
          <xdr:row>65</xdr:row>
          <xdr:rowOff>142875</xdr:rowOff>
        </xdr:to>
        <xdr:sp macro="" textlink="">
          <xdr:nvSpPr>
            <xdr:cNvPr id="1186" name="VarPreSelect63" hidden="1">
              <a:extLst>
                <a:ext uri="{63B3BB69-23CF-44E3-9099-C40C66FF867C}">
                  <a14:compatExt spid="_x0000_s11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66</xdr:row>
          <xdr:rowOff>19050</xdr:rowOff>
        </xdr:from>
        <xdr:to>
          <xdr:col>3</xdr:col>
          <xdr:colOff>409575</xdr:colOff>
          <xdr:row>66</xdr:row>
          <xdr:rowOff>142875</xdr:rowOff>
        </xdr:to>
        <xdr:sp macro="" textlink="">
          <xdr:nvSpPr>
            <xdr:cNvPr id="1187" name="VarPreSelect64" hidden="1">
              <a:extLst>
                <a:ext uri="{63B3BB69-23CF-44E3-9099-C40C66FF867C}">
                  <a14:compatExt spid="_x0000_s11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67</xdr:row>
          <xdr:rowOff>19050</xdr:rowOff>
        </xdr:from>
        <xdr:to>
          <xdr:col>3</xdr:col>
          <xdr:colOff>409575</xdr:colOff>
          <xdr:row>67</xdr:row>
          <xdr:rowOff>142875</xdr:rowOff>
        </xdr:to>
        <xdr:sp macro="" textlink="">
          <xdr:nvSpPr>
            <xdr:cNvPr id="1188" name="VarPreSelect65" hidden="1">
              <a:extLst>
                <a:ext uri="{63B3BB69-23CF-44E3-9099-C40C66FF867C}">
                  <a14:compatExt spid="_x0000_s11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68</xdr:row>
          <xdr:rowOff>19050</xdr:rowOff>
        </xdr:from>
        <xdr:to>
          <xdr:col>3</xdr:col>
          <xdr:colOff>409575</xdr:colOff>
          <xdr:row>68</xdr:row>
          <xdr:rowOff>142875</xdr:rowOff>
        </xdr:to>
        <xdr:sp macro="" textlink="">
          <xdr:nvSpPr>
            <xdr:cNvPr id="1189" name="VarPreSelect66" hidden="1">
              <a:extLst>
                <a:ext uri="{63B3BB69-23CF-44E3-9099-C40C66FF867C}">
                  <a14:compatExt spid="_x0000_s11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69</xdr:row>
          <xdr:rowOff>19050</xdr:rowOff>
        </xdr:from>
        <xdr:to>
          <xdr:col>3</xdr:col>
          <xdr:colOff>409575</xdr:colOff>
          <xdr:row>69</xdr:row>
          <xdr:rowOff>142875</xdr:rowOff>
        </xdr:to>
        <xdr:sp macro="" textlink="">
          <xdr:nvSpPr>
            <xdr:cNvPr id="1190" name="VarPreSelect67" hidden="1">
              <a:extLst>
                <a:ext uri="{63B3BB69-23CF-44E3-9099-C40C66FF867C}">
                  <a14:compatExt spid="_x0000_s11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70</xdr:row>
          <xdr:rowOff>19050</xdr:rowOff>
        </xdr:from>
        <xdr:to>
          <xdr:col>3</xdr:col>
          <xdr:colOff>409575</xdr:colOff>
          <xdr:row>70</xdr:row>
          <xdr:rowOff>142875</xdr:rowOff>
        </xdr:to>
        <xdr:sp macro="" textlink="">
          <xdr:nvSpPr>
            <xdr:cNvPr id="1191" name="VarPreSelect68" hidden="1">
              <a:extLst>
                <a:ext uri="{63B3BB69-23CF-44E3-9099-C40C66FF867C}">
                  <a14:compatExt spid="_x0000_s11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71</xdr:row>
          <xdr:rowOff>19050</xdr:rowOff>
        </xdr:from>
        <xdr:to>
          <xdr:col>3</xdr:col>
          <xdr:colOff>409575</xdr:colOff>
          <xdr:row>71</xdr:row>
          <xdr:rowOff>142875</xdr:rowOff>
        </xdr:to>
        <xdr:sp macro="" textlink="">
          <xdr:nvSpPr>
            <xdr:cNvPr id="1192" name="VarPreSelect69" hidden="1">
              <a:extLst>
                <a:ext uri="{63B3BB69-23CF-44E3-9099-C40C66FF867C}">
                  <a14:compatExt spid="_x0000_s11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72</xdr:row>
          <xdr:rowOff>19050</xdr:rowOff>
        </xdr:from>
        <xdr:to>
          <xdr:col>3</xdr:col>
          <xdr:colOff>409575</xdr:colOff>
          <xdr:row>72</xdr:row>
          <xdr:rowOff>142875</xdr:rowOff>
        </xdr:to>
        <xdr:sp macro="" textlink="">
          <xdr:nvSpPr>
            <xdr:cNvPr id="1193" name="VarPreSelect70" hidden="1">
              <a:extLst>
                <a:ext uri="{63B3BB69-23CF-44E3-9099-C40C66FF867C}">
                  <a14:compatExt spid="_x0000_s11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73</xdr:row>
          <xdr:rowOff>19050</xdr:rowOff>
        </xdr:from>
        <xdr:to>
          <xdr:col>3</xdr:col>
          <xdr:colOff>409575</xdr:colOff>
          <xdr:row>73</xdr:row>
          <xdr:rowOff>142875</xdr:rowOff>
        </xdr:to>
        <xdr:sp macro="" textlink="">
          <xdr:nvSpPr>
            <xdr:cNvPr id="1194" name="VarPreSelect71" hidden="1">
              <a:extLst>
                <a:ext uri="{63B3BB69-23CF-44E3-9099-C40C66FF867C}">
                  <a14:compatExt spid="_x0000_s11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74</xdr:row>
          <xdr:rowOff>19050</xdr:rowOff>
        </xdr:from>
        <xdr:to>
          <xdr:col>3</xdr:col>
          <xdr:colOff>409575</xdr:colOff>
          <xdr:row>74</xdr:row>
          <xdr:rowOff>142875</xdr:rowOff>
        </xdr:to>
        <xdr:sp macro="" textlink="">
          <xdr:nvSpPr>
            <xdr:cNvPr id="1195" name="VarPreSelect72" hidden="1">
              <a:extLst>
                <a:ext uri="{63B3BB69-23CF-44E3-9099-C40C66FF867C}">
                  <a14:compatExt spid="_x0000_s11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75</xdr:row>
          <xdr:rowOff>19050</xdr:rowOff>
        </xdr:from>
        <xdr:to>
          <xdr:col>3</xdr:col>
          <xdr:colOff>409575</xdr:colOff>
          <xdr:row>75</xdr:row>
          <xdr:rowOff>142875</xdr:rowOff>
        </xdr:to>
        <xdr:sp macro="" textlink="">
          <xdr:nvSpPr>
            <xdr:cNvPr id="1196" name="VarPreSelect73" hidden="1">
              <a:extLst>
                <a:ext uri="{63B3BB69-23CF-44E3-9099-C40C66FF867C}">
                  <a14:compatExt spid="_x0000_s11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76</xdr:row>
          <xdr:rowOff>19050</xdr:rowOff>
        </xdr:from>
        <xdr:to>
          <xdr:col>3</xdr:col>
          <xdr:colOff>409575</xdr:colOff>
          <xdr:row>76</xdr:row>
          <xdr:rowOff>142875</xdr:rowOff>
        </xdr:to>
        <xdr:sp macro="" textlink="">
          <xdr:nvSpPr>
            <xdr:cNvPr id="1197" name="VarPreSelect74" hidden="1">
              <a:extLst>
                <a:ext uri="{63B3BB69-23CF-44E3-9099-C40C66FF867C}">
                  <a14:compatExt spid="_x0000_s11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77</xdr:row>
          <xdr:rowOff>19050</xdr:rowOff>
        </xdr:from>
        <xdr:to>
          <xdr:col>3</xdr:col>
          <xdr:colOff>409575</xdr:colOff>
          <xdr:row>77</xdr:row>
          <xdr:rowOff>142875</xdr:rowOff>
        </xdr:to>
        <xdr:sp macro="" textlink="">
          <xdr:nvSpPr>
            <xdr:cNvPr id="1198" name="VarPreSelect75" hidden="1">
              <a:extLst>
                <a:ext uri="{63B3BB69-23CF-44E3-9099-C40C66FF867C}">
                  <a14:compatExt spid="_x0000_s11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78</xdr:row>
          <xdr:rowOff>19050</xdr:rowOff>
        </xdr:from>
        <xdr:to>
          <xdr:col>3</xdr:col>
          <xdr:colOff>409575</xdr:colOff>
          <xdr:row>78</xdr:row>
          <xdr:rowOff>142875</xdr:rowOff>
        </xdr:to>
        <xdr:sp macro="" textlink="">
          <xdr:nvSpPr>
            <xdr:cNvPr id="1199" name="VarPreSelect76" hidden="1">
              <a:extLst>
                <a:ext uri="{63B3BB69-23CF-44E3-9099-C40C66FF867C}">
                  <a14:compatExt spid="_x0000_s11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79</xdr:row>
          <xdr:rowOff>19050</xdr:rowOff>
        </xdr:from>
        <xdr:to>
          <xdr:col>3</xdr:col>
          <xdr:colOff>409575</xdr:colOff>
          <xdr:row>79</xdr:row>
          <xdr:rowOff>142875</xdr:rowOff>
        </xdr:to>
        <xdr:sp macro="" textlink="">
          <xdr:nvSpPr>
            <xdr:cNvPr id="1200" name="VarPreSelect77" hidden="1">
              <a:extLst>
                <a:ext uri="{63B3BB69-23CF-44E3-9099-C40C66FF867C}">
                  <a14:compatExt spid="_x0000_s12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80</xdr:row>
          <xdr:rowOff>19050</xdr:rowOff>
        </xdr:from>
        <xdr:to>
          <xdr:col>3</xdr:col>
          <xdr:colOff>409575</xdr:colOff>
          <xdr:row>80</xdr:row>
          <xdr:rowOff>142875</xdr:rowOff>
        </xdr:to>
        <xdr:sp macro="" textlink="">
          <xdr:nvSpPr>
            <xdr:cNvPr id="1201" name="VarPreSelect78" hidden="1">
              <a:extLst>
                <a:ext uri="{63B3BB69-23CF-44E3-9099-C40C66FF867C}">
                  <a14:compatExt spid="_x0000_s12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81</xdr:row>
          <xdr:rowOff>19050</xdr:rowOff>
        </xdr:from>
        <xdr:to>
          <xdr:col>3</xdr:col>
          <xdr:colOff>409575</xdr:colOff>
          <xdr:row>81</xdr:row>
          <xdr:rowOff>142875</xdr:rowOff>
        </xdr:to>
        <xdr:sp macro="" textlink="">
          <xdr:nvSpPr>
            <xdr:cNvPr id="1202" name="VarPreSelect79" hidden="1">
              <a:extLst>
                <a:ext uri="{63B3BB69-23CF-44E3-9099-C40C66FF867C}">
                  <a14:compatExt spid="_x0000_s12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82</xdr:row>
          <xdr:rowOff>19050</xdr:rowOff>
        </xdr:from>
        <xdr:to>
          <xdr:col>3</xdr:col>
          <xdr:colOff>409575</xdr:colOff>
          <xdr:row>82</xdr:row>
          <xdr:rowOff>142875</xdr:rowOff>
        </xdr:to>
        <xdr:sp macro="" textlink="">
          <xdr:nvSpPr>
            <xdr:cNvPr id="1203" name="VarPreSelect80" hidden="1">
              <a:extLst>
                <a:ext uri="{63B3BB69-23CF-44E3-9099-C40C66FF867C}">
                  <a14:compatExt spid="_x0000_s12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83</xdr:row>
          <xdr:rowOff>19050</xdr:rowOff>
        </xdr:from>
        <xdr:to>
          <xdr:col>3</xdr:col>
          <xdr:colOff>409575</xdr:colOff>
          <xdr:row>83</xdr:row>
          <xdr:rowOff>142875</xdr:rowOff>
        </xdr:to>
        <xdr:sp macro="" textlink="">
          <xdr:nvSpPr>
            <xdr:cNvPr id="1204" name="VarPreSelect81" hidden="1">
              <a:extLst>
                <a:ext uri="{63B3BB69-23CF-44E3-9099-C40C66FF867C}">
                  <a14:compatExt spid="_x0000_s12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84</xdr:row>
          <xdr:rowOff>19050</xdr:rowOff>
        </xdr:from>
        <xdr:to>
          <xdr:col>3</xdr:col>
          <xdr:colOff>409575</xdr:colOff>
          <xdr:row>84</xdr:row>
          <xdr:rowOff>142875</xdr:rowOff>
        </xdr:to>
        <xdr:sp macro="" textlink="">
          <xdr:nvSpPr>
            <xdr:cNvPr id="1205" name="VarPreSelect82" hidden="1">
              <a:extLst>
                <a:ext uri="{63B3BB69-23CF-44E3-9099-C40C66FF867C}">
                  <a14:compatExt spid="_x0000_s12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85</xdr:row>
          <xdr:rowOff>19050</xdr:rowOff>
        </xdr:from>
        <xdr:to>
          <xdr:col>3</xdr:col>
          <xdr:colOff>409575</xdr:colOff>
          <xdr:row>85</xdr:row>
          <xdr:rowOff>142875</xdr:rowOff>
        </xdr:to>
        <xdr:sp macro="" textlink="">
          <xdr:nvSpPr>
            <xdr:cNvPr id="1206" name="VarPreSelect83" hidden="1">
              <a:extLst>
                <a:ext uri="{63B3BB69-23CF-44E3-9099-C40C66FF867C}">
                  <a14:compatExt spid="_x0000_s12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86</xdr:row>
          <xdr:rowOff>19050</xdr:rowOff>
        </xdr:from>
        <xdr:to>
          <xdr:col>3</xdr:col>
          <xdr:colOff>409575</xdr:colOff>
          <xdr:row>86</xdr:row>
          <xdr:rowOff>142875</xdr:rowOff>
        </xdr:to>
        <xdr:sp macro="" textlink="">
          <xdr:nvSpPr>
            <xdr:cNvPr id="1207" name="VarPreSelect84" hidden="1">
              <a:extLst>
                <a:ext uri="{63B3BB69-23CF-44E3-9099-C40C66FF867C}">
                  <a14:compatExt spid="_x0000_s12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87</xdr:row>
          <xdr:rowOff>19050</xdr:rowOff>
        </xdr:from>
        <xdr:to>
          <xdr:col>3</xdr:col>
          <xdr:colOff>409575</xdr:colOff>
          <xdr:row>87</xdr:row>
          <xdr:rowOff>142875</xdr:rowOff>
        </xdr:to>
        <xdr:sp macro="" textlink="">
          <xdr:nvSpPr>
            <xdr:cNvPr id="1208" name="VarPreSelect85" hidden="1">
              <a:extLst>
                <a:ext uri="{63B3BB69-23CF-44E3-9099-C40C66FF867C}">
                  <a14:compatExt spid="_x0000_s12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88</xdr:row>
          <xdr:rowOff>19050</xdr:rowOff>
        </xdr:from>
        <xdr:to>
          <xdr:col>3</xdr:col>
          <xdr:colOff>409575</xdr:colOff>
          <xdr:row>88</xdr:row>
          <xdr:rowOff>142875</xdr:rowOff>
        </xdr:to>
        <xdr:sp macro="" textlink="">
          <xdr:nvSpPr>
            <xdr:cNvPr id="1209" name="VarPreSelect86" hidden="1">
              <a:extLst>
                <a:ext uri="{63B3BB69-23CF-44E3-9099-C40C66FF867C}">
                  <a14:compatExt spid="_x0000_s12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89</xdr:row>
          <xdr:rowOff>19050</xdr:rowOff>
        </xdr:from>
        <xdr:to>
          <xdr:col>3</xdr:col>
          <xdr:colOff>409575</xdr:colOff>
          <xdr:row>89</xdr:row>
          <xdr:rowOff>142875</xdr:rowOff>
        </xdr:to>
        <xdr:sp macro="" textlink="">
          <xdr:nvSpPr>
            <xdr:cNvPr id="1210" name="VarPreSelect87" hidden="1">
              <a:extLst>
                <a:ext uri="{63B3BB69-23CF-44E3-9099-C40C66FF867C}">
                  <a14:compatExt spid="_x0000_s12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90</xdr:row>
          <xdr:rowOff>19050</xdr:rowOff>
        </xdr:from>
        <xdr:to>
          <xdr:col>3</xdr:col>
          <xdr:colOff>409575</xdr:colOff>
          <xdr:row>90</xdr:row>
          <xdr:rowOff>142875</xdr:rowOff>
        </xdr:to>
        <xdr:sp macro="" textlink="">
          <xdr:nvSpPr>
            <xdr:cNvPr id="1211" name="VarPreSelect88" hidden="1">
              <a:extLst>
                <a:ext uri="{63B3BB69-23CF-44E3-9099-C40C66FF867C}">
                  <a14:compatExt spid="_x0000_s12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91</xdr:row>
          <xdr:rowOff>19050</xdr:rowOff>
        </xdr:from>
        <xdr:to>
          <xdr:col>3</xdr:col>
          <xdr:colOff>409575</xdr:colOff>
          <xdr:row>91</xdr:row>
          <xdr:rowOff>142875</xdr:rowOff>
        </xdr:to>
        <xdr:sp macro="" textlink="">
          <xdr:nvSpPr>
            <xdr:cNvPr id="1212" name="VarPreSelect89" hidden="1">
              <a:extLst>
                <a:ext uri="{63B3BB69-23CF-44E3-9099-C40C66FF867C}">
                  <a14:compatExt spid="_x0000_s12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92</xdr:row>
          <xdr:rowOff>19050</xdr:rowOff>
        </xdr:from>
        <xdr:to>
          <xdr:col>3</xdr:col>
          <xdr:colOff>409575</xdr:colOff>
          <xdr:row>92</xdr:row>
          <xdr:rowOff>142875</xdr:rowOff>
        </xdr:to>
        <xdr:sp macro="" textlink="">
          <xdr:nvSpPr>
            <xdr:cNvPr id="1213" name="VarPreSelect90" hidden="1">
              <a:extLst>
                <a:ext uri="{63B3BB69-23CF-44E3-9099-C40C66FF867C}">
                  <a14:compatExt spid="_x0000_s12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93</xdr:row>
          <xdr:rowOff>19050</xdr:rowOff>
        </xdr:from>
        <xdr:to>
          <xdr:col>3</xdr:col>
          <xdr:colOff>409575</xdr:colOff>
          <xdr:row>93</xdr:row>
          <xdr:rowOff>142875</xdr:rowOff>
        </xdr:to>
        <xdr:sp macro="" textlink="">
          <xdr:nvSpPr>
            <xdr:cNvPr id="1214" name="VarPreSelect91" hidden="1">
              <a:extLst>
                <a:ext uri="{63B3BB69-23CF-44E3-9099-C40C66FF867C}">
                  <a14:compatExt spid="_x0000_s12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94</xdr:row>
          <xdr:rowOff>19050</xdr:rowOff>
        </xdr:from>
        <xdr:to>
          <xdr:col>3</xdr:col>
          <xdr:colOff>409575</xdr:colOff>
          <xdr:row>94</xdr:row>
          <xdr:rowOff>142875</xdr:rowOff>
        </xdr:to>
        <xdr:sp macro="" textlink="">
          <xdr:nvSpPr>
            <xdr:cNvPr id="1215" name="VarPreSelect92" hidden="1">
              <a:extLst>
                <a:ext uri="{63B3BB69-23CF-44E3-9099-C40C66FF867C}">
                  <a14:compatExt spid="_x0000_s12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95</xdr:row>
          <xdr:rowOff>19050</xdr:rowOff>
        </xdr:from>
        <xdr:to>
          <xdr:col>3</xdr:col>
          <xdr:colOff>409575</xdr:colOff>
          <xdr:row>95</xdr:row>
          <xdr:rowOff>142875</xdr:rowOff>
        </xdr:to>
        <xdr:sp macro="" textlink="">
          <xdr:nvSpPr>
            <xdr:cNvPr id="1216" name="VarPreSelect93" hidden="1">
              <a:extLst>
                <a:ext uri="{63B3BB69-23CF-44E3-9099-C40C66FF867C}">
                  <a14:compatExt spid="_x0000_s12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247650</xdr:colOff>
          <xdr:row>100</xdr:row>
          <xdr:rowOff>19050</xdr:rowOff>
        </xdr:from>
        <xdr:to>
          <xdr:col>4</xdr:col>
          <xdr:colOff>409575</xdr:colOff>
          <xdr:row>100</xdr:row>
          <xdr:rowOff>142875</xdr:rowOff>
        </xdr:to>
        <xdr:sp macro="" textlink="">
          <xdr:nvSpPr>
            <xdr:cNvPr id="1217" name="MatchCORREL1" hidden="1">
              <a:extLst>
                <a:ext uri="{63B3BB69-23CF-44E3-9099-C40C66FF867C}">
                  <a14:compatExt spid="_x0000_s12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247650</xdr:colOff>
          <xdr:row>100</xdr:row>
          <xdr:rowOff>19050</xdr:rowOff>
        </xdr:from>
        <xdr:to>
          <xdr:col>5</xdr:col>
          <xdr:colOff>409575</xdr:colOff>
          <xdr:row>100</xdr:row>
          <xdr:rowOff>142875</xdr:rowOff>
        </xdr:to>
        <xdr:sp macro="" textlink="">
          <xdr:nvSpPr>
            <xdr:cNvPr id="1218" name="MatchCORREL2" hidden="1">
              <a:extLst>
                <a:ext uri="{63B3BB69-23CF-44E3-9099-C40C66FF867C}">
                  <a14:compatExt spid="_x0000_s12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100</xdr:row>
          <xdr:rowOff>19050</xdr:rowOff>
        </xdr:from>
        <xdr:to>
          <xdr:col>6</xdr:col>
          <xdr:colOff>409575</xdr:colOff>
          <xdr:row>100</xdr:row>
          <xdr:rowOff>142875</xdr:rowOff>
        </xdr:to>
        <xdr:sp macro="" textlink="">
          <xdr:nvSpPr>
            <xdr:cNvPr id="1219" name="MatchCORREL3" hidden="1">
              <a:extLst>
                <a:ext uri="{63B3BB69-23CF-44E3-9099-C40C66FF867C}">
                  <a14:compatExt spid="_x0000_s12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247650</xdr:colOff>
          <xdr:row>100</xdr:row>
          <xdr:rowOff>19050</xdr:rowOff>
        </xdr:from>
        <xdr:to>
          <xdr:col>7</xdr:col>
          <xdr:colOff>409575</xdr:colOff>
          <xdr:row>100</xdr:row>
          <xdr:rowOff>142875</xdr:rowOff>
        </xdr:to>
        <xdr:sp macro="" textlink="">
          <xdr:nvSpPr>
            <xdr:cNvPr id="1220" name="MatchCORREL4" hidden="1">
              <a:extLst>
                <a:ext uri="{63B3BB69-23CF-44E3-9099-C40C66FF867C}">
                  <a14:compatExt spid="_x0000_s12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247650</xdr:colOff>
          <xdr:row>100</xdr:row>
          <xdr:rowOff>19050</xdr:rowOff>
        </xdr:from>
        <xdr:to>
          <xdr:col>8</xdr:col>
          <xdr:colOff>409575</xdr:colOff>
          <xdr:row>100</xdr:row>
          <xdr:rowOff>142875</xdr:rowOff>
        </xdr:to>
        <xdr:sp macro="" textlink="">
          <xdr:nvSpPr>
            <xdr:cNvPr id="1221" name="MatchCORREL5" hidden="1">
              <a:extLst>
                <a:ext uri="{63B3BB69-23CF-44E3-9099-C40C66FF867C}">
                  <a14:compatExt spid="_x0000_s12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247650</xdr:colOff>
          <xdr:row>100</xdr:row>
          <xdr:rowOff>19050</xdr:rowOff>
        </xdr:from>
        <xdr:to>
          <xdr:col>9</xdr:col>
          <xdr:colOff>409575</xdr:colOff>
          <xdr:row>100</xdr:row>
          <xdr:rowOff>142875</xdr:rowOff>
        </xdr:to>
        <xdr:sp macro="" textlink="">
          <xdr:nvSpPr>
            <xdr:cNvPr id="1222" name="MatchCORREL6" hidden="1">
              <a:extLst>
                <a:ext uri="{63B3BB69-23CF-44E3-9099-C40C66FF867C}">
                  <a14:compatExt spid="_x0000_s12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247650</xdr:colOff>
          <xdr:row>100</xdr:row>
          <xdr:rowOff>19050</xdr:rowOff>
        </xdr:from>
        <xdr:to>
          <xdr:col>10</xdr:col>
          <xdr:colOff>409575</xdr:colOff>
          <xdr:row>100</xdr:row>
          <xdr:rowOff>142875</xdr:rowOff>
        </xdr:to>
        <xdr:sp macro="" textlink="">
          <xdr:nvSpPr>
            <xdr:cNvPr id="1223" name="MatchCORREL7" hidden="1">
              <a:extLst>
                <a:ext uri="{63B3BB69-23CF-44E3-9099-C40C66FF867C}">
                  <a14:compatExt spid="_x0000_s12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247650</xdr:colOff>
          <xdr:row>100</xdr:row>
          <xdr:rowOff>19050</xdr:rowOff>
        </xdr:from>
        <xdr:to>
          <xdr:col>11</xdr:col>
          <xdr:colOff>409575</xdr:colOff>
          <xdr:row>100</xdr:row>
          <xdr:rowOff>142875</xdr:rowOff>
        </xdr:to>
        <xdr:sp macro="" textlink="">
          <xdr:nvSpPr>
            <xdr:cNvPr id="1224" name="MatchCORREL8" hidden="1">
              <a:extLst>
                <a:ext uri="{63B3BB69-23CF-44E3-9099-C40C66FF867C}">
                  <a14:compatExt spid="_x0000_s12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247650</xdr:colOff>
          <xdr:row>100</xdr:row>
          <xdr:rowOff>19050</xdr:rowOff>
        </xdr:from>
        <xdr:to>
          <xdr:col>12</xdr:col>
          <xdr:colOff>409575</xdr:colOff>
          <xdr:row>100</xdr:row>
          <xdr:rowOff>142875</xdr:rowOff>
        </xdr:to>
        <xdr:sp macro="" textlink="">
          <xdr:nvSpPr>
            <xdr:cNvPr id="1225" name="MatchCORREL9" hidden="1">
              <a:extLst>
                <a:ext uri="{63B3BB69-23CF-44E3-9099-C40C66FF867C}">
                  <a14:compatExt spid="_x0000_s12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247650</xdr:colOff>
          <xdr:row>100</xdr:row>
          <xdr:rowOff>19050</xdr:rowOff>
        </xdr:from>
        <xdr:to>
          <xdr:col>13</xdr:col>
          <xdr:colOff>409575</xdr:colOff>
          <xdr:row>100</xdr:row>
          <xdr:rowOff>142875</xdr:rowOff>
        </xdr:to>
        <xdr:sp macro="" textlink="">
          <xdr:nvSpPr>
            <xdr:cNvPr id="1226" name="MatchCORREL10" hidden="1">
              <a:extLst>
                <a:ext uri="{63B3BB69-23CF-44E3-9099-C40C66FF867C}">
                  <a14:compatExt spid="_x0000_s12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247650</xdr:colOff>
          <xdr:row>100</xdr:row>
          <xdr:rowOff>19050</xdr:rowOff>
        </xdr:from>
        <xdr:to>
          <xdr:col>14</xdr:col>
          <xdr:colOff>409575</xdr:colOff>
          <xdr:row>100</xdr:row>
          <xdr:rowOff>142875</xdr:rowOff>
        </xdr:to>
        <xdr:sp macro="" textlink="">
          <xdr:nvSpPr>
            <xdr:cNvPr id="1227" name="MatchCORREL11" hidden="1">
              <a:extLst>
                <a:ext uri="{63B3BB69-23CF-44E3-9099-C40C66FF867C}">
                  <a14:compatExt spid="_x0000_s12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247650</xdr:colOff>
          <xdr:row>100</xdr:row>
          <xdr:rowOff>19050</xdr:rowOff>
        </xdr:from>
        <xdr:to>
          <xdr:col>15</xdr:col>
          <xdr:colOff>409575</xdr:colOff>
          <xdr:row>100</xdr:row>
          <xdr:rowOff>142875</xdr:rowOff>
        </xdr:to>
        <xdr:sp macro="" textlink="">
          <xdr:nvSpPr>
            <xdr:cNvPr id="1228" name="MatchCORREL12" hidden="1">
              <a:extLst>
                <a:ext uri="{63B3BB69-23CF-44E3-9099-C40C66FF867C}">
                  <a14:compatExt spid="_x0000_s12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247650</xdr:colOff>
          <xdr:row>100</xdr:row>
          <xdr:rowOff>19050</xdr:rowOff>
        </xdr:from>
        <xdr:to>
          <xdr:col>16</xdr:col>
          <xdr:colOff>409575</xdr:colOff>
          <xdr:row>100</xdr:row>
          <xdr:rowOff>142875</xdr:rowOff>
        </xdr:to>
        <xdr:sp macro="" textlink="">
          <xdr:nvSpPr>
            <xdr:cNvPr id="1229" name="MatchCORREL13" hidden="1">
              <a:extLst>
                <a:ext uri="{63B3BB69-23CF-44E3-9099-C40C66FF867C}">
                  <a14:compatExt spid="_x0000_s12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247650</xdr:colOff>
          <xdr:row>100</xdr:row>
          <xdr:rowOff>19050</xdr:rowOff>
        </xdr:from>
        <xdr:to>
          <xdr:col>17</xdr:col>
          <xdr:colOff>409575</xdr:colOff>
          <xdr:row>100</xdr:row>
          <xdr:rowOff>142875</xdr:rowOff>
        </xdr:to>
        <xdr:sp macro="" textlink="">
          <xdr:nvSpPr>
            <xdr:cNvPr id="1230" name="MatchCORREL14" hidden="1">
              <a:extLst>
                <a:ext uri="{63B3BB69-23CF-44E3-9099-C40C66FF867C}">
                  <a14:compatExt spid="_x0000_s1230"/>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247650</xdr:colOff>
          <xdr:row>3</xdr:row>
          <xdr:rowOff>19050</xdr:rowOff>
        </xdr:from>
        <xdr:to>
          <xdr:col>2</xdr:col>
          <xdr:colOff>409575</xdr:colOff>
          <xdr:row>3</xdr:row>
          <xdr:rowOff>142875</xdr:rowOff>
        </xdr:to>
        <xdr:sp macro="" textlink="">
          <xdr:nvSpPr>
            <xdr:cNvPr id="2055" name="VarErr1" hidden="1">
              <a:extLst>
                <a:ext uri="{63B3BB69-23CF-44E3-9099-C40C66FF867C}">
                  <a14:compatExt spid="_x0000_s20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xdr:row>
          <xdr:rowOff>19050</xdr:rowOff>
        </xdr:from>
        <xdr:to>
          <xdr:col>2</xdr:col>
          <xdr:colOff>409575</xdr:colOff>
          <xdr:row>4</xdr:row>
          <xdr:rowOff>142875</xdr:rowOff>
        </xdr:to>
        <xdr:sp macro="" textlink="">
          <xdr:nvSpPr>
            <xdr:cNvPr id="2056" name="VarErr2" hidden="1">
              <a:extLst>
                <a:ext uri="{63B3BB69-23CF-44E3-9099-C40C66FF867C}">
                  <a14:compatExt spid="_x0000_s20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xdr:row>
          <xdr:rowOff>19050</xdr:rowOff>
        </xdr:from>
        <xdr:to>
          <xdr:col>2</xdr:col>
          <xdr:colOff>409575</xdr:colOff>
          <xdr:row>5</xdr:row>
          <xdr:rowOff>142875</xdr:rowOff>
        </xdr:to>
        <xdr:sp macro="" textlink="">
          <xdr:nvSpPr>
            <xdr:cNvPr id="2057" name="VarErr3" hidden="1">
              <a:extLst>
                <a:ext uri="{63B3BB69-23CF-44E3-9099-C40C66FF867C}">
                  <a14:compatExt spid="_x0000_s20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xdr:row>
          <xdr:rowOff>19050</xdr:rowOff>
        </xdr:from>
        <xdr:to>
          <xdr:col>2</xdr:col>
          <xdr:colOff>409575</xdr:colOff>
          <xdr:row>6</xdr:row>
          <xdr:rowOff>142875</xdr:rowOff>
        </xdr:to>
        <xdr:sp macro="" textlink="">
          <xdr:nvSpPr>
            <xdr:cNvPr id="2058" name="VarErr4" hidden="1">
              <a:extLst>
                <a:ext uri="{63B3BB69-23CF-44E3-9099-C40C66FF867C}">
                  <a14:compatExt spid="_x0000_s20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xdr:row>
          <xdr:rowOff>19050</xdr:rowOff>
        </xdr:from>
        <xdr:to>
          <xdr:col>2</xdr:col>
          <xdr:colOff>409575</xdr:colOff>
          <xdr:row>7</xdr:row>
          <xdr:rowOff>142875</xdr:rowOff>
        </xdr:to>
        <xdr:sp macro="" textlink="">
          <xdr:nvSpPr>
            <xdr:cNvPr id="2059" name="VarErr5" hidden="1">
              <a:extLst>
                <a:ext uri="{63B3BB69-23CF-44E3-9099-C40C66FF867C}">
                  <a14:compatExt spid="_x0000_s20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xdr:row>
          <xdr:rowOff>19050</xdr:rowOff>
        </xdr:from>
        <xdr:to>
          <xdr:col>2</xdr:col>
          <xdr:colOff>409575</xdr:colOff>
          <xdr:row>8</xdr:row>
          <xdr:rowOff>142875</xdr:rowOff>
        </xdr:to>
        <xdr:sp macro="" textlink="">
          <xdr:nvSpPr>
            <xdr:cNvPr id="2060" name="VarErr6" hidden="1">
              <a:extLst>
                <a:ext uri="{63B3BB69-23CF-44E3-9099-C40C66FF867C}">
                  <a14:compatExt spid="_x0000_s20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xdr:row>
          <xdr:rowOff>19050</xdr:rowOff>
        </xdr:from>
        <xdr:to>
          <xdr:col>2</xdr:col>
          <xdr:colOff>409575</xdr:colOff>
          <xdr:row>9</xdr:row>
          <xdr:rowOff>142875</xdr:rowOff>
        </xdr:to>
        <xdr:sp macro="" textlink="">
          <xdr:nvSpPr>
            <xdr:cNvPr id="2061" name="VarErr7" hidden="1">
              <a:extLst>
                <a:ext uri="{63B3BB69-23CF-44E3-9099-C40C66FF867C}">
                  <a14:compatExt spid="_x0000_s20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10</xdr:row>
          <xdr:rowOff>19050</xdr:rowOff>
        </xdr:from>
        <xdr:to>
          <xdr:col>2</xdr:col>
          <xdr:colOff>409575</xdr:colOff>
          <xdr:row>10</xdr:row>
          <xdr:rowOff>142875</xdr:rowOff>
        </xdr:to>
        <xdr:sp macro="" textlink="">
          <xdr:nvSpPr>
            <xdr:cNvPr id="2062" name="VarErr8" hidden="1">
              <a:extLst>
                <a:ext uri="{63B3BB69-23CF-44E3-9099-C40C66FF867C}">
                  <a14:compatExt spid="_x0000_s20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11</xdr:row>
          <xdr:rowOff>19050</xdr:rowOff>
        </xdr:from>
        <xdr:to>
          <xdr:col>2</xdr:col>
          <xdr:colOff>409575</xdr:colOff>
          <xdr:row>11</xdr:row>
          <xdr:rowOff>142875</xdr:rowOff>
        </xdr:to>
        <xdr:sp macro="" textlink="">
          <xdr:nvSpPr>
            <xdr:cNvPr id="2063" name="VarErr9" hidden="1">
              <a:extLst>
                <a:ext uri="{63B3BB69-23CF-44E3-9099-C40C66FF867C}">
                  <a14:compatExt spid="_x0000_s20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12</xdr:row>
          <xdr:rowOff>19050</xdr:rowOff>
        </xdr:from>
        <xdr:to>
          <xdr:col>2</xdr:col>
          <xdr:colOff>409575</xdr:colOff>
          <xdr:row>12</xdr:row>
          <xdr:rowOff>142875</xdr:rowOff>
        </xdr:to>
        <xdr:sp macro="" textlink="">
          <xdr:nvSpPr>
            <xdr:cNvPr id="2064" name="VarErr10" hidden="1">
              <a:extLst>
                <a:ext uri="{63B3BB69-23CF-44E3-9099-C40C66FF867C}">
                  <a14:compatExt spid="_x0000_s20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13</xdr:row>
          <xdr:rowOff>19050</xdr:rowOff>
        </xdr:from>
        <xdr:to>
          <xdr:col>2</xdr:col>
          <xdr:colOff>409575</xdr:colOff>
          <xdr:row>13</xdr:row>
          <xdr:rowOff>142875</xdr:rowOff>
        </xdr:to>
        <xdr:sp macro="" textlink="">
          <xdr:nvSpPr>
            <xdr:cNvPr id="2065" name="VarErr11" hidden="1">
              <a:extLst>
                <a:ext uri="{63B3BB69-23CF-44E3-9099-C40C66FF867C}">
                  <a14:compatExt spid="_x0000_s20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14</xdr:row>
          <xdr:rowOff>19050</xdr:rowOff>
        </xdr:from>
        <xdr:to>
          <xdr:col>2</xdr:col>
          <xdr:colOff>409575</xdr:colOff>
          <xdr:row>14</xdr:row>
          <xdr:rowOff>142875</xdr:rowOff>
        </xdr:to>
        <xdr:sp macro="" textlink="">
          <xdr:nvSpPr>
            <xdr:cNvPr id="2066" name="VarErr12" hidden="1">
              <a:extLst>
                <a:ext uri="{63B3BB69-23CF-44E3-9099-C40C66FF867C}">
                  <a14:compatExt spid="_x0000_s20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15</xdr:row>
          <xdr:rowOff>19050</xdr:rowOff>
        </xdr:from>
        <xdr:to>
          <xdr:col>2</xdr:col>
          <xdr:colOff>409575</xdr:colOff>
          <xdr:row>15</xdr:row>
          <xdr:rowOff>142875</xdr:rowOff>
        </xdr:to>
        <xdr:sp macro="" textlink="">
          <xdr:nvSpPr>
            <xdr:cNvPr id="2067" name="VarErr13" hidden="1">
              <a:extLst>
                <a:ext uri="{63B3BB69-23CF-44E3-9099-C40C66FF867C}">
                  <a14:compatExt spid="_x0000_s20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16</xdr:row>
          <xdr:rowOff>19050</xdr:rowOff>
        </xdr:from>
        <xdr:to>
          <xdr:col>2</xdr:col>
          <xdr:colOff>409575</xdr:colOff>
          <xdr:row>16</xdr:row>
          <xdr:rowOff>142875</xdr:rowOff>
        </xdr:to>
        <xdr:sp macro="" textlink="">
          <xdr:nvSpPr>
            <xdr:cNvPr id="2068" name="VarErr14" hidden="1">
              <a:extLst>
                <a:ext uri="{63B3BB69-23CF-44E3-9099-C40C66FF867C}">
                  <a14:compatExt spid="_x0000_s20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17</xdr:row>
          <xdr:rowOff>19050</xdr:rowOff>
        </xdr:from>
        <xdr:to>
          <xdr:col>2</xdr:col>
          <xdr:colOff>409575</xdr:colOff>
          <xdr:row>17</xdr:row>
          <xdr:rowOff>142875</xdr:rowOff>
        </xdr:to>
        <xdr:sp macro="" textlink="">
          <xdr:nvSpPr>
            <xdr:cNvPr id="2069" name="VarErr15" hidden="1">
              <a:extLst>
                <a:ext uri="{63B3BB69-23CF-44E3-9099-C40C66FF867C}">
                  <a14:compatExt spid="_x0000_s20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18</xdr:row>
          <xdr:rowOff>19050</xdr:rowOff>
        </xdr:from>
        <xdr:to>
          <xdr:col>2</xdr:col>
          <xdr:colOff>409575</xdr:colOff>
          <xdr:row>18</xdr:row>
          <xdr:rowOff>142875</xdr:rowOff>
        </xdr:to>
        <xdr:sp macro="" textlink="">
          <xdr:nvSpPr>
            <xdr:cNvPr id="2070" name="VarErr16" hidden="1">
              <a:extLst>
                <a:ext uri="{63B3BB69-23CF-44E3-9099-C40C66FF867C}">
                  <a14:compatExt spid="_x0000_s20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19</xdr:row>
          <xdr:rowOff>19050</xdr:rowOff>
        </xdr:from>
        <xdr:to>
          <xdr:col>2</xdr:col>
          <xdr:colOff>409575</xdr:colOff>
          <xdr:row>19</xdr:row>
          <xdr:rowOff>142875</xdr:rowOff>
        </xdr:to>
        <xdr:sp macro="" textlink="">
          <xdr:nvSpPr>
            <xdr:cNvPr id="2071" name="VarErr17" hidden="1">
              <a:extLst>
                <a:ext uri="{63B3BB69-23CF-44E3-9099-C40C66FF867C}">
                  <a14:compatExt spid="_x0000_s20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20</xdr:row>
          <xdr:rowOff>19050</xdr:rowOff>
        </xdr:from>
        <xdr:to>
          <xdr:col>2</xdr:col>
          <xdr:colOff>409575</xdr:colOff>
          <xdr:row>20</xdr:row>
          <xdr:rowOff>142875</xdr:rowOff>
        </xdr:to>
        <xdr:sp macro="" textlink="">
          <xdr:nvSpPr>
            <xdr:cNvPr id="2072" name="VarErr18" hidden="1">
              <a:extLst>
                <a:ext uri="{63B3BB69-23CF-44E3-9099-C40C66FF867C}">
                  <a14:compatExt spid="_x0000_s20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21</xdr:row>
          <xdr:rowOff>19050</xdr:rowOff>
        </xdr:from>
        <xdr:to>
          <xdr:col>2</xdr:col>
          <xdr:colOff>409575</xdr:colOff>
          <xdr:row>21</xdr:row>
          <xdr:rowOff>142875</xdr:rowOff>
        </xdr:to>
        <xdr:sp macro="" textlink="">
          <xdr:nvSpPr>
            <xdr:cNvPr id="2073" name="VarErr19" hidden="1">
              <a:extLst>
                <a:ext uri="{63B3BB69-23CF-44E3-9099-C40C66FF867C}">
                  <a14:compatExt spid="_x0000_s20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22</xdr:row>
          <xdr:rowOff>19050</xdr:rowOff>
        </xdr:from>
        <xdr:to>
          <xdr:col>2</xdr:col>
          <xdr:colOff>409575</xdr:colOff>
          <xdr:row>22</xdr:row>
          <xdr:rowOff>142875</xdr:rowOff>
        </xdr:to>
        <xdr:sp macro="" textlink="">
          <xdr:nvSpPr>
            <xdr:cNvPr id="2074" name="VarErr20" hidden="1">
              <a:extLst>
                <a:ext uri="{63B3BB69-23CF-44E3-9099-C40C66FF867C}">
                  <a14:compatExt spid="_x0000_s20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23</xdr:row>
          <xdr:rowOff>19050</xdr:rowOff>
        </xdr:from>
        <xdr:to>
          <xdr:col>2</xdr:col>
          <xdr:colOff>409575</xdr:colOff>
          <xdr:row>23</xdr:row>
          <xdr:rowOff>142875</xdr:rowOff>
        </xdr:to>
        <xdr:sp macro="" textlink="">
          <xdr:nvSpPr>
            <xdr:cNvPr id="2075" name="VarErr21" hidden="1">
              <a:extLst>
                <a:ext uri="{63B3BB69-23CF-44E3-9099-C40C66FF867C}">
                  <a14:compatExt spid="_x0000_s20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24</xdr:row>
          <xdr:rowOff>19050</xdr:rowOff>
        </xdr:from>
        <xdr:to>
          <xdr:col>2</xdr:col>
          <xdr:colOff>409575</xdr:colOff>
          <xdr:row>24</xdr:row>
          <xdr:rowOff>142875</xdr:rowOff>
        </xdr:to>
        <xdr:sp macro="" textlink="">
          <xdr:nvSpPr>
            <xdr:cNvPr id="2076" name="VarErr22" hidden="1">
              <a:extLst>
                <a:ext uri="{63B3BB69-23CF-44E3-9099-C40C66FF867C}">
                  <a14:compatExt spid="_x0000_s20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25</xdr:row>
          <xdr:rowOff>19050</xdr:rowOff>
        </xdr:from>
        <xdr:to>
          <xdr:col>2</xdr:col>
          <xdr:colOff>409575</xdr:colOff>
          <xdr:row>25</xdr:row>
          <xdr:rowOff>142875</xdr:rowOff>
        </xdr:to>
        <xdr:sp macro="" textlink="">
          <xdr:nvSpPr>
            <xdr:cNvPr id="2077" name="VarErr23" hidden="1">
              <a:extLst>
                <a:ext uri="{63B3BB69-23CF-44E3-9099-C40C66FF867C}">
                  <a14:compatExt spid="_x0000_s20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26</xdr:row>
          <xdr:rowOff>19050</xdr:rowOff>
        </xdr:from>
        <xdr:to>
          <xdr:col>2</xdr:col>
          <xdr:colOff>409575</xdr:colOff>
          <xdr:row>26</xdr:row>
          <xdr:rowOff>142875</xdr:rowOff>
        </xdr:to>
        <xdr:sp macro="" textlink="">
          <xdr:nvSpPr>
            <xdr:cNvPr id="2078" name="VarErr24" hidden="1">
              <a:extLst>
                <a:ext uri="{63B3BB69-23CF-44E3-9099-C40C66FF867C}">
                  <a14:compatExt spid="_x0000_s20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27</xdr:row>
          <xdr:rowOff>19050</xdr:rowOff>
        </xdr:from>
        <xdr:to>
          <xdr:col>2</xdr:col>
          <xdr:colOff>409575</xdr:colOff>
          <xdr:row>27</xdr:row>
          <xdr:rowOff>142875</xdr:rowOff>
        </xdr:to>
        <xdr:sp macro="" textlink="">
          <xdr:nvSpPr>
            <xdr:cNvPr id="2079" name="VarErr25" hidden="1">
              <a:extLst>
                <a:ext uri="{63B3BB69-23CF-44E3-9099-C40C66FF867C}">
                  <a14:compatExt spid="_x0000_s20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28</xdr:row>
          <xdr:rowOff>19050</xdr:rowOff>
        </xdr:from>
        <xdr:to>
          <xdr:col>2</xdr:col>
          <xdr:colOff>409575</xdr:colOff>
          <xdr:row>28</xdr:row>
          <xdr:rowOff>142875</xdr:rowOff>
        </xdr:to>
        <xdr:sp macro="" textlink="">
          <xdr:nvSpPr>
            <xdr:cNvPr id="2080" name="VarErr26" hidden="1">
              <a:extLst>
                <a:ext uri="{63B3BB69-23CF-44E3-9099-C40C66FF867C}">
                  <a14:compatExt spid="_x0000_s20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29</xdr:row>
          <xdr:rowOff>19050</xdr:rowOff>
        </xdr:from>
        <xdr:to>
          <xdr:col>2</xdr:col>
          <xdr:colOff>409575</xdr:colOff>
          <xdr:row>29</xdr:row>
          <xdr:rowOff>142875</xdr:rowOff>
        </xdr:to>
        <xdr:sp macro="" textlink="">
          <xdr:nvSpPr>
            <xdr:cNvPr id="2081" name="VarErr27" hidden="1">
              <a:extLst>
                <a:ext uri="{63B3BB69-23CF-44E3-9099-C40C66FF867C}">
                  <a14:compatExt spid="_x0000_s20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30</xdr:row>
          <xdr:rowOff>19050</xdr:rowOff>
        </xdr:from>
        <xdr:to>
          <xdr:col>2</xdr:col>
          <xdr:colOff>409575</xdr:colOff>
          <xdr:row>30</xdr:row>
          <xdr:rowOff>142875</xdr:rowOff>
        </xdr:to>
        <xdr:sp macro="" textlink="">
          <xdr:nvSpPr>
            <xdr:cNvPr id="2082" name="VarErr28" hidden="1">
              <a:extLst>
                <a:ext uri="{63B3BB69-23CF-44E3-9099-C40C66FF867C}">
                  <a14:compatExt spid="_x0000_s20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31</xdr:row>
          <xdr:rowOff>19050</xdr:rowOff>
        </xdr:from>
        <xdr:to>
          <xdr:col>2</xdr:col>
          <xdr:colOff>409575</xdr:colOff>
          <xdr:row>31</xdr:row>
          <xdr:rowOff>142875</xdr:rowOff>
        </xdr:to>
        <xdr:sp macro="" textlink="">
          <xdr:nvSpPr>
            <xdr:cNvPr id="2083" name="VarErr29" hidden="1">
              <a:extLst>
                <a:ext uri="{63B3BB69-23CF-44E3-9099-C40C66FF867C}">
                  <a14:compatExt spid="_x0000_s20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32</xdr:row>
          <xdr:rowOff>19050</xdr:rowOff>
        </xdr:from>
        <xdr:to>
          <xdr:col>2</xdr:col>
          <xdr:colOff>409575</xdr:colOff>
          <xdr:row>32</xdr:row>
          <xdr:rowOff>142875</xdr:rowOff>
        </xdr:to>
        <xdr:sp macro="" textlink="">
          <xdr:nvSpPr>
            <xdr:cNvPr id="2084" name="VarErr30" hidden="1">
              <a:extLst>
                <a:ext uri="{63B3BB69-23CF-44E3-9099-C40C66FF867C}">
                  <a14:compatExt spid="_x0000_s20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33</xdr:row>
          <xdr:rowOff>19050</xdr:rowOff>
        </xdr:from>
        <xdr:to>
          <xdr:col>2</xdr:col>
          <xdr:colOff>409575</xdr:colOff>
          <xdr:row>33</xdr:row>
          <xdr:rowOff>142875</xdr:rowOff>
        </xdr:to>
        <xdr:sp macro="" textlink="">
          <xdr:nvSpPr>
            <xdr:cNvPr id="2085" name="VarErr31" hidden="1">
              <a:extLst>
                <a:ext uri="{63B3BB69-23CF-44E3-9099-C40C66FF867C}">
                  <a14:compatExt spid="_x0000_s20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34</xdr:row>
          <xdr:rowOff>19050</xdr:rowOff>
        </xdr:from>
        <xdr:to>
          <xdr:col>2</xdr:col>
          <xdr:colOff>409575</xdr:colOff>
          <xdr:row>34</xdr:row>
          <xdr:rowOff>142875</xdr:rowOff>
        </xdr:to>
        <xdr:sp macro="" textlink="">
          <xdr:nvSpPr>
            <xdr:cNvPr id="2086" name="VarErr32" hidden="1">
              <a:extLst>
                <a:ext uri="{63B3BB69-23CF-44E3-9099-C40C66FF867C}">
                  <a14:compatExt spid="_x0000_s20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35</xdr:row>
          <xdr:rowOff>19050</xdr:rowOff>
        </xdr:from>
        <xdr:to>
          <xdr:col>2</xdr:col>
          <xdr:colOff>409575</xdr:colOff>
          <xdr:row>35</xdr:row>
          <xdr:rowOff>142875</xdr:rowOff>
        </xdr:to>
        <xdr:sp macro="" textlink="">
          <xdr:nvSpPr>
            <xdr:cNvPr id="2087" name="VarErr33" hidden="1">
              <a:extLst>
                <a:ext uri="{63B3BB69-23CF-44E3-9099-C40C66FF867C}">
                  <a14:compatExt spid="_x0000_s20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36</xdr:row>
          <xdr:rowOff>19050</xdr:rowOff>
        </xdr:from>
        <xdr:to>
          <xdr:col>2</xdr:col>
          <xdr:colOff>409575</xdr:colOff>
          <xdr:row>36</xdr:row>
          <xdr:rowOff>142875</xdr:rowOff>
        </xdr:to>
        <xdr:sp macro="" textlink="">
          <xdr:nvSpPr>
            <xdr:cNvPr id="2088" name="VarErr34" hidden="1">
              <a:extLst>
                <a:ext uri="{63B3BB69-23CF-44E3-9099-C40C66FF867C}">
                  <a14:compatExt spid="_x0000_s20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37</xdr:row>
          <xdr:rowOff>19050</xdr:rowOff>
        </xdr:from>
        <xdr:to>
          <xdr:col>2</xdr:col>
          <xdr:colOff>409575</xdr:colOff>
          <xdr:row>37</xdr:row>
          <xdr:rowOff>142875</xdr:rowOff>
        </xdr:to>
        <xdr:sp macro="" textlink="">
          <xdr:nvSpPr>
            <xdr:cNvPr id="2089" name="VarErr35" hidden="1">
              <a:extLst>
                <a:ext uri="{63B3BB69-23CF-44E3-9099-C40C66FF867C}">
                  <a14:compatExt spid="_x0000_s20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38</xdr:row>
          <xdr:rowOff>19050</xdr:rowOff>
        </xdr:from>
        <xdr:to>
          <xdr:col>2</xdr:col>
          <xdr:colOff>409575</xdr:colOff>
          <xdr:row>38</xdr:row>
          <xdr:rowOff>142875</xdr:rowOff>
        </xdr:to>
        <xdr:sp macro="" textlink="">
          <xdr:nvSpPr>
            <xdr:cNvPr id="2090" name="VarErr36" hidden="1">
              <a:extLst>
                <a:ext uri="{63B3BB69-23CF-44E3-9099-C40C66FF867C}">
                  <a14:compatExt spid="_x0000_s20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39</xdr:row>
          <xdr:rowOff>19050</xdr:rowOff>
        </xdr:from>
        <xdr:to>
          <xdr:col>2</xdr:col>
          <xdr:colOff>409575</xdr:colOff>
          <xdr:row>39</xdr:row>
          <xdr:rowOff>142875</xdr:rowOff>
        </xdr:to>
        <xdr:sp macro="" textlink="">
          <xdr:nvSpPr>
            <xdr:cNvPr id="2091" name="VarErr37" hidden="1">
              <a:extLst>
                <a:ext uri="{63B3BB69-23CF-44E3-9099-C40C66FF867C}">
                  <a14:compatExt spid="_x0000_s20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40</xdr:row>
          <xdr:rowOff>19050</xdr:rowOff>
        </xdr:from>
        <xdr:to>
          <xdr:col>2</xdr:col>
          <xdr:colOff>409575</xdr:colOff>
          <xdr:row>40</xdr:row>
          <xdr:rowOff>142875</xdr:rowOff>
        </xdr:to>
        <xdr:sp macro="" textlink="">
          <xdr:nvSpPr>
            <xdr:cNvPr id="2092" name="VarErr38" hidden="1">
              <a:extLst>
                <a:ext uri="{63B3BB69-23CF-44E3-9099-C40C66FF867C}">
                  <a14:compatExt spid="_x0000_s20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41</xdr:row>
          <xdr:rowOff>19050</xdr:rowOff>
        </xdr:from>
        <xdr:to>
          <xdr:col>2</xdr:col>
          <xdr:colOff>409575</xdr:colOff>
          <xdr:row>41</xdr:row>
          <xdr:rowOff>142875</xdr:rowOff>
        </xdr:to>
        <xdr:sp macro="" textlink="">
          <xdr:nvSpPr>
            <xdr:cNvPr id="2093" name="VarErr39" hidden="1">
              <a:extLst>
                <a:ext uri="{63B3BB69-23CF-44E3-9099-C40C66FF867C}">
                  <a14:compatExt spid="_x0000_s20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42</xdr:row>
          <xdr:rowOff>19050</xdr:rowOff>
        </xdr:from>
        <xdr:to>
          <xdr:col>2</xdr:col>
          <xdr:colOff>409575</xdr:colOff>
          <xdr:row>42</xdr:row>
          <xdr:rowOff>142875</xdr:rowOff>
        </xdr:to>
        <xdr:sp macro="" textlink="">
          <xdr:nvSpPr>
            <xdr:cNvPr id="2094" name="VarErr40" hidden="1">
              <a:extLst>
                <a:ext uri="{63B3BB69-23CF-44E3-9099-C40C66FF867C}">
                  <a14:compatExt spid="_x0000_s20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43</xdr:row>
          <xdr:rowOff>19050</xdr:rowOff>
        </xdr:from>
        <xdr:to>
          <xdr:col>2</xdr:col>
          <xdr:colOff>409575</xdr:colOff>
          <xdr:row>43</xdr:row>
          <xdr:rowOff>142875</xdr:rowOff>
        </xdr:to>
        <xdr:sp macro="" textlink="">
          <xdr:nvSpPr>
            <xdr:cNvPr id="2095" name="VarErr41" hidden="1">
              <a:extLst>
                <a:ext uri="{63B3BB69-23CF-44E3-9099-C40C66FF867C}">
                  <a14:compatExt spid="_x0000_s20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44</xdr:row>
          <xdr:rowOff>19050</xdr:rowOff>
        </xdr:from>
        <xdr:to>
          <xdr:col>2</xdr:col>
          <xdr:colOff>409575</xdr:colOff>
          <xdr:row>44</xdr:row>
          <xdr:rowOff>142875</xdr:rowOff>
        </xdr:to>
        <xdr:sp macro="" textlink="">
          <xdr:nvSpPr>
            <xdr:cNvPr id="2096" name="VarErr42" hidden="1">
              <a:extLst>
                <a:ext uri="{63B3BB69-23CF-44E3-9099-C40C66FF867C}">
                  <a14:compatExt spid="_x0000_s20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45</xdr:row>
          <xdr:rowOff>19050</xdr:rowOff>
        </xdr:from>
        <xdr:to>
          <xdr:col>2</xdr:col>
          <xdr:colOff>409575</xdr:colOff>
          <xdr:row>45</xdr:row>
          <xdr:rowOff>142875</xdr:rowOff>
        </xdr:to>
        <xdr:sp macro="" textlink="">
          <xdr:nvSpPr>
            <xdr:cNvPr id="2097" name="VarErr43" hidden="1">
              <a:extLst>
                <a:ext uri="{63B3BB69-23CF-44E3-9099-C40C66FF867C}">
                  <a14:compatExt spid="_x0000_s20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46</xdr:row>
          <xdr:rowOff>19050</xdr:rowOff>
        </xdr:from>
        <xdr:to>
          <xdr:col>2</xdr:col>
          <xdr:colOff>409575</xdr:colOff>
          <xdr:row>46</xdr:row>
          <xdr:rowOff>142875</xdr:rowOff>
        </xdr:to>
        <xdr:sp macro="" textlink="">
          <xdr:nvSpPr>
            <xdr:cNvPr id="2098" name="VarErr44" hidden="1">
              <a:extLst>
                <a:ext uri="{63B3BB69-23CF-44E3-9099-C40C66FF867C}">
                  <a14:compatExt spid="_x0000_s20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47</xdr:row>
          <xdr:rowOff>19050</xdr:rowOff>
        </xdr:from>
        <xdr:to>
          <xdr:col>2</xdr:col>
          <xdr:colOff>409575</xdr:colOff>
          <xdr:row>47</xdr:row>
          <xdr:rowOff>142875</xdr:rowOff>
        </xdr:to>
        <xdr:sp macro="" textlink="">
          <xdr:nvSpPr>
            <xdr:cNvPr id="2099" name="VarErr45" hidden="1">
              <a:extLst>
                <a:ext uri="{63B3BB69-23CF-44E3-9099-C40C66FF867C}">
                  <a14:compatExt spid="_x0000_s20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48</xdr:row>
          <xdr:rowOff>19050</xdr:rowOff>
        </xdr:from>
        <xdr:to>
          <xdr:col>2</xdr:col>
          <xdr:colOff>409575</xdr:colOff>
          <xdr:row>48</xdr:row>
          <xdr:rowOff>142875</xdr:rowOff>
        </xdr:to>
        <xdr:sp macro="" textlink="">
          <xdr:nvSpPr>
            <xdr:cNvPr id="2100" name="VarErr46" hidden="1">
              <a:extLst>
                <a:ext uri="{63B3BB69-23CF-44E3-9099-C40C66FF867C}">
                  <a14:compatExt spid="_x0000_s21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49</xdr:row>
          <xdr:rowOff>19050</xdr:rowOff>
        </xdr:from>
        <xdr:to>
          <xdr:col>2</xdr:col>
          <xdr:colOff>409575</xdr:colOff>
          <xdr:row>49</xdr:row>
          <xdr:rowOff>142875</xdr:rowOff>
        </xdr:to>
        <xdr:sp macro="" textlink="">
          <xdr:nvSpPr>
            <xdr:cNvPr id="2101" name="VarErr47" hidden="1">
              <a:extLst>
                <a:ext uri="{63B3BB69-23CF-44E3-9099-C40C66FF867C}">
                  <a14:compatExt spid="_x0000_s21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50</xdr:row>
          <xdr:rowOff>19050</xdr:rowOff>
        </xdr:from>
        <xdr:to>
          <xdr:col>2</xdr:col>
          <xdr:colOff>409575</xdr:colOff>
          <xdr:row>50</xdr:row>
          <xdr:rowOff>142875</xdr:rowOff>
        </xdr:to>
        <xdr:sp macro="" textlink="">
          <xdr:nvSpPr>
            <xdr:cNvPr id="2102" name="VarErr48" hidden="1">
              <a:extLst>
                <a:ext uri="{63B3BB69-23CF-44E3-9099-C40C66FF867C}">
                  <a14:compatExt spid="_x0000_s21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51</xdr:row>
          <xdr:rowOff>19050</xdr:rowOff>
        </xdr:from>
        <xdr:to>
          <xdr:col>2</xdr:col>
          <xdr:colOff>409575</xdr:colOff>
          <xdr:row>51</xdr:row>
          <xdr:rowOff>142875</xdr:rowOff>
        </xdr:to>
        <xdr:sp macro="" textlink="">
          <xdr:nvSpPr>
            <xdr:cNvPr id="2103" name="VarErr49" hidden="1">
              <a:extLst>
                <a:ext uri="{63B3BB69-23CF-44E3-9099-C40C66FF867C}">
                  <a14:compatExt spid="_x0000_s21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52</xdr:row>
          <xdr:rowOff>19050</xdr:rowOff>
        </xdr:from>
        <xdr:to>
          <xdr:col>2</xdr:col>
          <xdr:colOff>409575</xdr:colOff>
          <xdr:row>52</xdr:row>
          <xdr:rowOff>142875</xdr:rowOff>
        </xdr:to>
        <xdr:sp macro="" textlink="">
          <xdr:nvSpPr>
            <xdr:cNvPr id="2104" name="VarErr50" hidden="1">
              <a:extLst>
                <a:ext uri="{63B3BB69-23CF-44E3-9099-C40C66FF867C}">
                  <a14:compatExt spid="_x0000_s21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53</xdr:row>
          <xdr:rowOff>19050</xdr:rowOff>
        </xdr:from>
        <xdr:to>
          <xdr:col>2</xdr:col>
          <xdr:colOff>409575</xdr:colOff>
          <xdr:row>53</xdr:row>
          <xdr:rowOff>142875</xdr:rowOff>
        </xdr:to>
        <xdr:sp macro="" textlink="">
          <xdr:nvSpPr>
            <xdr:cNvPr id="2105" name="VarErr51" hidden="1">
              <a:extLst>
                <a:ext uri="{63B3BB69-23CF-44E3-9099-C40C66FF867C}">
                  <a14:compatExt spid="_x0000_s21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54</xdr:row>
          <xdr:rowOff>19050</xdr:rowOff>
        </xdr:from>
        <xdr:to>
          <xdr:col>2</xdr:col>
          <xdr:colOff>409575</xdr:colOff>
          <xdr:row>54</xdr:row>
          <xdr:rowOff>142875</xdr:rowOff>
        </xdr:to>
        <xdr:sp macro="" textlink="">
          <xdr:nvSpPr>
            <xdr:cNvPr id="2106" name="VarErr52" hidden="1">
              <a:extLst>
                <a:ext uri="{63B3BB69-23CF-44E3-9099-C40C66FF867C}">
                  <a14:compatExt spid="_x0000_s21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55</xdr:row>
          <xdr:rowOff>19050</xdr:rowOff>
        </xdr:from>
        <xdr:to>
          <xdr:col>2</xdr:col>
          <xdr:colOff>409575</xdr:colOff>
          <xdr:row>55</xdr:row>
          <xdr:rowOff>142875</xdr:rowOff>
        </xdr:to>
        <xdr:sp macro="" textlink="">
          <xdr:nvSpPr>
            <xdr:cNvPr id="2107" name="VarErr53" hidden="1">
              <a:extLst>
                <a:ext uri="{63B3BB69-23CF-44E3-9099-C40C66FF867C}">
                  <a14:compatExt spid="_x0000_s21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56</xdr:row>
          <xdr:rowOff>19050</xdr:rowOff>
        </xdr:from>
        <xdr:to>
          <xdr:col>2</xdr:col>
          <xdr:colOff>409575</xdr:colOff>
          <xdr:row>56</xdr:row>
          <xdr:rowOff>142875</xdr:rowOff>
        </xdr:to>
        <xdr:sp macro="" textlink="">
          <xdr:nvSpPr>
            <xdr:cNvPr id="2108" name="VarErr54" hidden="1">
              <a:extLst>
                <a:ext uri="{63B3BB69-23CF-44E3-9099-C40C66FF867C}">
                  <a14:compatExt spid="_x0000_s21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57</xdr:row>
          <xdr:rowOff>19050</xdr:rowOff>
        </xdr:from>
        <xdr:to>
          <xdr:col>2</xdr:col>
          <xdr:colOff>409575</xdr:colOff>
          <xdr:row>57</xdr:row>
          <xdr:rowOff>142875</xdr:rowOff>
        </xdr:to>
        <xdr:sp macro="" textlink="">
          <xdr:nvSpPr>
            <xdr:cNvPr id="2109" name="VarErr55" hidden="1">
              <a:extLst>
                <a:ext uri="{63B3BB69-23CF-44E3-9099-C40C66FF867C}">
                  <a14:compatExt spid="_x0000_s21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58</xdr:row>
          <xdr:rowOff>19050</xdr:rowOff>
        </xdr:from>
        <xdr:to>
          <xdr:col>2</xdr:col>
          <xdr:colOff>409575</xdr:colOff>
          <xdr:row>58</xdr:row>
          <xdr:rowOff>142875</xdr:rowOff>
        </xdr:to>
        <xdr:sp macro="" textlink="">
          <xdr:nvSpPr>
            <xdr:cNvPr id="2110" name="VarErr56" hidden="1">
              <a:extLst>
                <a:ext uri="{63B3BB69-23CF-44E3-9099-C40C66FF867C}">
                  <a14:compatExt spid="_x0000_s21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59</xdr:row>
          <xdr:rowOff>19050</xdr:rowOff>
        </xdr:from>
        <xdr:to>
          <xdr:col>2</xdr:col>
          <xdr:colOff>409575</xdr:colOff>
          <xdr:row>59</xdr:row>
          <xdr:rowOff>142875</xdr:rowOff>
        </xdr:to>
        <xdr:sp macro="" textlink="">
          <xdr:nvSpPr>
            <xdr:cNvPr id="2111" name="VarErr57" hidden="1">
              <a:extLst>
                <a:ext uri="{63B3BB69-23CF-44E3-9099-C40C66FF867C}">
                  <a14:compatExt spid="_x0000_s21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60</xdr:row>
          <xdr:rowOff>19050</xdr:rowOff>
        </xdr:from>
        <xdr:to>
          <xdr:col>2</xdr:col>
          <xdr:colOff>409575</xdr:colOff>
          <xdr:row>60</xdr:row>
          <xdr:rowOff>142875</xdr:rowOff>
        </xdr:to>
        <xdr:sp macro="" textlink="">
          <xdr:nvSpPr>
            <xdr:cNvPr id="2112" name="VarErr58" hidden="1">
              <a:extLst>
                <a:ext uri="{63B3BB69-23CF-44E3-9099-C40C66FF867C}">
                  <a14:compatExt spid="_x0000_s21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61</xdr:row>
          <xdr:rowOff>19050</xdr:rowOff>
        </xdr:from>
        <xdr:to>
          <xdr:col>2</xdr:col>
          <xdr:colOff>409575</xdr:colOff>
          <xdr:row>61</xdr:row>
          <xdr:rowOff>142875</xdr:rowOff>
        </xdr:to>
        <xdr:sp macro="" textlink="">
          <xdr:nvSpPr>
            <xdr:cNvPr id="2113" name="VarErr59" hidden="1">
              <a:extLst>
                <a:ext uri="{63B3BB69-23CF-44E3-9099-C40C66FF867C}">
                  <a14:compatExt spid="_x0000_s21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62</xdr:row>
          <xdr:rowOff>19050</xdr:rowOff>
        </xdr:from>
        <xdr:to>
          <xdr:col>2</xdr:col>
          <xdr:colOff>409575</xdr:colOff>
          <xdr:row>62</xdr:row>
          <xdr:rowOff>142875</xdr:rowOff>
        </xdr:to>
        <xdr:sp macro="" textlink="">
          <xdr:nvSpPr>
            <xdr:cNvPr id="2114" name="VarErr60" hidden="1">
              <a:extLst>
                <a:ext uri="{63B3BB69-23CF-44E3-9099-C40C66FF867C}">
                  <a14:compatExt spid="_x0000_s21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63</xdr:row>
          <xdr:rowOff>19050</xdr:rowOff>
        </xdr:from>
        <xdr:to>
          <xdr:col>2</xdr:col>
          <xdr:colOff>409575</xdr:colOff>
          <xdr:row>63</xdr:row>
          <xdr:rowOff>142875</xdr:rowOff>
        </xdr:to>
        <xdr:sp macro="" textlink="">
          <xdr:nvSpPr>
            <xdr:cNvPr id="2115" name="VarErr61" hidden="1">
              <a:extLst>
                <a:ext uri="{63B3BB69-23CF-44E3-9099-C40C66FF867C}">
                  <a14:compatExt spid="_x0000_s21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64</xdr:row>
          <xdr:rowOff>19050</xdr:rowOff>
        </xdr:from>
        <xdr:to>
          <xdr:col>2</xdr:col>
          <xdr:colOff>409575</xdr:colOff>
          <xdr:row>64</xdr:row>
          <xdr:rowOff>142875</xdr:rowOff>
        </xdr:to>
        <xdr:sp macro="" textlink="">
          <xdr:nvSpPr>
            <xdr:cNvPr id="2116" name="VarErr62" hidden="1">
              <a:extLst>
                <a:ext uri="{63B3BB69-23CF-44E3-9099-C40C66FF867C}">
                  <a14:compatExt spid="_x0000_s21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65</xdr:row>
          <xdr:rowOff>19050</xdr:rowOff>
        </xdr:from>
        <xdr:to>
          <xdr:col>2</xdr:col>
          <xdr:colOff>409575</xdr:colOff>
          <xdr:row>65</xdr:row>
          <xdr:rowOff>142875</xdr:rowOff>
        </xdr:to>
        <xdr:sp macro="" textlink="">
          <xdr:nvSpPr>
            <xdr:cNvPr id="2117" name="VarErr63" hidden="1">
              <a:extLst>
                <a:ext uri="{63B3BB69-23CF-44E3-9099-C40C66FF867C}">
                  <a14:compatExt spid="_x0000_s21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66</xdr:row>
          <xdr:rowOff>19050</xdr:rowOff>
        </xdr:from>
        <xdr:to>
          <xdr:col>2</xdr:col>
          <xdr:colOff>409575</xdr:colOff>
          <xdr:row>66</xdr:row>
          <xdr:rowOff>142875</xdr:rowOff>
        </xdr:to>
        <xdr:sp macro="" textlink="">
          <xdr:nvSpPr>
            <xdr:cNvPr id="2118" name="VarErr64" hidden="1">
              <a:extLst>
                <a:ext uri="{63B3BB69-23CF-44E3-9099-C40C66FF867C}">
                  <a14:compatExt spid="_x0000_s21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67</xdr:row>
          <xdr:rowOff>19050</xdr:rowOff>
        </xdr:from>
        <xdr:to>
          <xdr:col>2</xdr:col>
          <xdr:colOff>409575</xdr:colOff>
          <xdr:row>67</xdr:row>
          <xdr:rowOff>142875</xdr:rowOff>
        </xdr:to>
        <xdr:sp macro="" textlink="">
          <xdr:nvSpPr>
            <xdr:cNvPr id="2119" name="VarErr65" hidden="1">
              <a:extLst>
                <a:ext uri="{63B3BB69-23CF-44E3-9099-C40C66FF867C}">
                  <a14:compatExt spid="_x0000_s21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68</xdr:row>
          <xdr:rowOff>19050</xdr:rowOff>
        </xdr:from>
        <xdr:to>
          <xdr:col>2</xdr:col>
          <xdr:colOff>409575</xdr:colOff>
          <xdr:row>68</xdr:row>
          <xdr:rowOff>142875</xdr:rowOff>
        </xdr:to>
        <xdr:sp macro="" textlink="">
          <xdr:nvSpPr>
            <xdr:cNvPr id="2120" name="VarErr66" hidden="1">
              <a:extLst>
                <a:ext uri="{63B3BB69-23CF-44E3-9099-C40C66FF867C}">
                  <a14:compatExt spid="_x0000_s21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69</xdr:row>
          <xdr:rowOff>19050</xdr:rowOff>
        </xdr:from>
        <xdr:to>
          <xdr:col>2</xdr:col>
          <xdr:colOff>409575</xdr:colOff>
          <xdr:row>69</xdr:row>
          <xdr:rowOff>142875</xdr:rowOff>
        </xdr:to>
        <xdr:sp macro="" textlink="">
          <xdr:nvSpPr>
            <xdr:cNvPr id="2121" name="VarErr67" hidden="1">
              <a:extLst>
                <a:ext uri="{63B3BB69-23CF-44E3-9099-C40C66FF867C}">
                  <a14:compatExt spid="_x0000_s21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70</xdr:row>
          <xdr:rowOff>19050</xdr:rowOff>
        </xdr:from>
        <xdr:to>
          <xdr:col>2</xdr:col>
          <xdr:colOff>409575</xdr:colOff>
          <xdr:row>70</xdr:row>
          <xdr:rowOff>142875</xdr:rowOff>
        </xdr:to>
        <xdr:sp macro="" textlink="">
          <xdr:nvSpPr>
            <xdr:cNvPr id="2122" name="VarErr68" hidden="1">
              <a:extLst>
                <a:ext uri="{63B3BB69-23CF-44E3-9099-C40C66FF867C}">
                  <a14:compatExt spid="_x0000_s21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71</xdr:row>
          <xdr:rowOff>19050</xdr:rowOff>
        </xdr:from>
        <xdr:to>
          <xdr:col>2</xdr:col>
          <xdr:colOff>409575</xdr:colOff>
          <xdr:row>71</xdr:row>
          <xdr:rowOff>142875</xdr:rowOff>
        </xdr:to>
        <xdr:sp macro="" textlink="">
          <xdr:nvSpPr>
            <xdr:cNvPr id="2123" name="VarErr69" hidden="1">
              <a:extLst>
                <a:ext uri="{63B3BB69-23CF-44E3-9099-C40C66FF867C}">
                  <a14:compatExt spid="_x0000_s21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72</xdr:row>
          <xdr:rowOff>19050</xdr:rowOff>
        </xdr:from>
        <xdr:to>
          <xdr:col>2</xdr:col>
          <xdr:colOff>409575</xdr:colOff>
          <xdr:row>72</xdr:row>
          <xdr:rowOff>142875</xdr:rowOff>
        </xdr:to>
        <xdr:sp macro="" textlink="">
          <xdr:nvSpPr>
            <xdr:cNvPr id="2124" name="VarErr70" hidden="1">
              <a:extLst>
                <a:ext uri="{63B3BB69-23CF-44E3-9099-C40C66FF867C}">
                  <a14:compatExt spid="_x0000_s21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73</xdr:row>
          <xdr:rowOff>19050</xdr:rowOff>
        </xdr:from>
        <xdr:to>
          <xdr:col>2</xdr:col>
          <xdr:colOff>409575</xdr:colOff>
          <xdr:row>73</xdr:row>
          <xdr:rowOff>142875</xdr:rowOff>
        </xdr:to>
        <xdr:sp macro="" textlink="">
          <xdr:nvSpPr>
            <xdr:cNvPr id="2125" name="VarErr71" hidden="1">
              <a:extLst>
                <a:ext uri="{63B3BB69-23CF-44E3-9099-C40C66FF867C}">
                  <a14:compatExt spid="_x0000_s21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74</xdr:row>
          <xdr:rowOff>19050</xdr:rowOff>
        </xdr:from>
        <xdr:to>
          <xdr:col>2</xdr:col>
          <xdr:colOff>409575</xdr:colOff>
          <xdr:row>74</xdr:row>
          <xdr:rowOff>142875</xdr:rowOff>
        </xdr:to>
        <xdr:sp macro="" textlink="">
          <xdr:nvSpPr>
            <xdr:cNvPr id="2126" name="VarErr72" hidden="1">
              <a:extLst>
                <a:ext uri="{63B3BB69-23CF-44E3-9099-C40C66FF867C}">
                  <a14:compatExt spid="_x0000_s21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75</xdr:row>
          <xdr:rowOff>19050</xdr:rowOff>
        </xdr:from>
        <xdr:to>
          <xdr:col>2</xdr:col>
          <xdr:colOff>409575</xdr:colOff>
          <xdr:row>75</xdr:row>
          <xdr:rowOff>142875</xdr:rowOff>
        </xdr:to>
        <xdr:sp macro="" textlink="">
          <xdr:nvSpPr>
            <xdr:cNvPr id="2127" name="VarErr73" hidden="1">
              <a:extLst>
                <a:ext uri="{63B3BB69-23CF-44E3-9099-C40C66FF867C}">
                  <a14:compatExt spid="_x0000_s21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76</xdr:row>
          <xdr:rowOff>19050</xdr:rowOff>
        </xdr:from>
        <xdr:to>
          <xdr:col>2</xdr:col>
          <xdr:colOff>409575</xdr:colOff>
          <xdr:row>76</xdr:row>
          <xdr:rowOff>142875</xdr:rowOff>
        </xdr:to>
        <xdr:sp macro="" textlink="">
          <xdr:nvSpPr>
            <xdr:cNvPr id="2128" name="VarErr74" hidden="1">
              <a:extLst>
                <a:ext uri="{63B3BB69-23CF-44E3-9099-C40C66FF867C}">
                  <a14:compatExt spid="_x0000_s21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77</xdr:row>
          <xdr:rowOff>19050</xdr:rowOff>
        </xdr:from>
        <xdr:to>
          <xdr:col>2</xdr:col>
          <xdr:colOff>409575</xdr:colOff>
          <xdr:row>77</xdr:row>
          <xdr:rowOff>142875</xdr:rowOff>
        </xdr:to>
        <xdr:sp macro="" textlink="">
          <xdr:nvSpPr>
            <xdr:cNvPr id="2129" name="VarErr75" hidden="1">
              <a:extLst>
                <a:ext uri="{63B3BB69-23CF-44E3-9099-C40C66FF867C}">
                  <a14:compatExt spid="_x0000_s21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78</xdr:row>
          <xdr:rowOff>19050</xdr:rowOff>
        </xdr:from>
        <xdr:to>
          <xdr:col>2</xdr:col>
          <xdr:colOff>409575</xdr:colOff>
          <xdr:row>78</xdr:row>
          <xdr:rowOff>142875</xdr:rowOff>
        </xdr:to>
        <xdr:sp macro="" textlink="">
          <xdr:nvSpPr>
            <xdr:cNvPr id="2130" name="VarErr76" hidden="1">
              <a:extLst>
                <a:ext uri="{63B3BB69-23CF-44E3-9099-C40C66FF867C}">
                  <a14:compatExt spid="_x0000_s21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79</xdr:row>
          <xdr:rowOff>19050</xdr:rowOff>
        </xdr:from>
        <xdr:to>
          <xdr:col>2</xdr:col>
          <xdr:colOff>409575</xdr:colOff>
          <xdr:row>79</xdr:row>
          <xdr:rowOff>142875</xdr:rowOff>
        </xdr:to>
        <xdr:sp macro="" textlink="">
          <xdr:nvSpPr>
            <xdr:cNvPr id="2131" name="VarErr77" hidden="1">
              <a:extLst>
                <a:ext uri="{63B3BB69-23CF-44E3-9099-C40C66FF867C}">
                  <a14:compatExt spid="_x0000_s21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80</xdr:row>
          <xdr:rowOff>19050</xdr:rowOff>
        </xdr:from>
        <xdr:to>
          <xdr:col>2</xdr:col>
          <xdr:colOff>409575</xdr:colOff>
          <xdr:row>80</xdr:row>
          <xdr:rowOff>142875</xdr:rowOff>
        </xdr:to>
        <xdr:sp macro="" textlink="">
          <xdr:nvSpPr>
            <xdr:cNvPr id="2132" name="VarErr78" hidden="1">
              <a:extLst>
                <a:ext uri="{63B3BB69-23CF-44E3-9099-C40C66FF867C}">
                  <a14:compatExt spid="_x0000_s21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81</xdr:row>
          <xdr:rowOff>19050</xdr:rowOff>
        </xdr:from>
        <xdr:to>
          <xdr:col>2</xdr:col>
          <xdr:colOff>409575</xdr:colOff>
          <xdr:row>81</xdr:row>
          <xdr:rowOff>142875</xdr:rowOff>
        </xdr:to>
        <xdr:sp macro="" textlink="">
          <xdr:nvSpPr>
            <xdr:cNvPr id="2133" name="VarErr79" hidden="1">
              <a:extLst>
                <a:ext uri="{63B3BB69-23CF-44E3-9099-C40C66FF867C}">
                  <a14:compatExt spid="_x0000_s21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82</xdr:row>
          <xdr:rowOff>19050</xdr:rowOff>
        </xdr:from>
        <xdr:to>
          <xdr:col>2</xdr:col>
          <xdr:colOff>409575</xdr:colOff>
          <xdr:row>82</xdr:row>
          <xdr:rowOff>142875</xdr:rowOff>
        </xdr:to>
        <xdr:sp macro="" textlink="">
          <xdr:nvSpPr>
            <xdr:cNvPr id="2134" name="VarErr80" hidden="1">
              <a:extLst>
                <a:ext uri="{63B3BB69-23CF-44E3-9099-C40C66FF867C}">
                  <a14:compatExt spid="_x0000_s21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83</xdr:row>
          <xdr:rowOff>19050</xdr:rowOff>
        </xdr:from>
        <xdr:to>
          <xdr:col>2</xdr:col>
          <xdr:colOff>409575</xdr:colOff>
          <xdr:row>83</xdr:row>
          <xdr:rowOff>142875</xdr:rowOff>
        </xdr:to>
        <xdr:sp macro="" textlink="">
          <xdr:nvSpPr>
            <xdr:cNvPr id="2135" name="VarErr81" hidden="1">
              <a:extLst>
                <a:ext uri="{63B3BB69-23CF-44E3-9099-C40C66FF867C}">
                  <a14:compatExt spid="_x0000_s21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84</xdr:row>
          <xdr:rowOff>19050</xdr:rowOff>
        </xdr:from>
        <xdr:to>
          <xdr:col>2</xdr:col>
          <xdr:colOff>409575</xdr:colOff>
          <xdr:row>84</xdr:row>
          <xdr:rowOff>142875</xdr:rowOff>
        </xdr:to>
        <xdr:sp macro="" textlink="">
          <xdr:nvSpPr>
            <xdr:cNvPr id="2136" name="VarErr82" hidden="1">
              <a:extLst>
                <a:ext uri="{63B3BB69-23CF-44E3-9099-C40C66FF867C}">
                  <a14:compatExt spid="_x0000_s21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85</xdr:row>
          <xdr:rowOff>19050</xdr:rowOff>
        </xdr:from>
        <xdr:to>
          <xdr:col>2</xdr:col>
          <xdr:colOff>409575</xdr:colOff>
          <xdr:row>85</xdr:row>
          <xdr:rowOff>142875</xdr:rowOff>
        </xdr:to>
        <xdr:sp macro="" textlink="">
          <xdr:nvSpPr>
            <xdr:cNvPr id="2137" name="VarErr83" hidden="1">
              <a:extLst>
                <a:ext uri="{63B3BB69-23CF-44E3-9099-C40C66FF867C}">
                  <a14:compatExt spid="_x0000_s21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86</xdr:row>
          <xdr:rowOff>19050</xdr:rowOff>
        </xdr:from>
        <xdr:to>
          <xdr:col>2</xdr:col>
          <xdr:colOff>409575</xdr:colOff>
          <xdr:row>86</xdr:row>
          <xdr:rowOff>142875</xdr:rowOff>
        </xdr:to>
        <xdr:sp macro="" textlink="">
          <xdr:nvSpPr>
            <xdr:cNvPr id="2138" name="VarErr84" hidden="1">
              <a:extLst>
                <a:ext uri="{63B3BB69-23CF-44E3-9099-C40C66FF867C}">
                  <a14:compatExt spid="_x0000_s21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87</xdr:row>
          <xdr:rowOff>19050</xdr:rowOff>
        </xdr:from>
        <xdr:to>
          <xdr:col>2</xdr:col>
          <xdr:colOff>409575</xdr:colOff>
          <xdr:row>87</xdr:row>
          <xdr:rowOff>142875</xdr:rowOff>
        </xdr:to>
        <xdr:sp macro="" textlink="">
          <xdr:nvSpPr>
            <xdr:cNvPr id="2139" name="VarErr85" hidden="1">
              <a:extLst>
                <a:ext uri="{63B3BB69-23CF-44E3-9099-C40C66FF867C}">
                  <a14:compatExt spid="_x0000_s21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88</xdr:row>
          <xdr:rowOff>19050</xdr:rowOff>
        </xdr:from>
        <xdr:to>
          <xdr:col>2</xdr:col>
          <xdr:colOff>409575</xdr:colOff>
          <xdr:row>88</xdr:row>
          <xdr:rowOff>142875</xdr:rowOff>
        </xdr:to>
        <xdr:sp macro="" textlink="">
          <xdr:nvSpPr>
            <xdr:cNvPr id="2140" name="VarErr86" hidden="1">
              <a:extLst>
                <a:ext uri="{63B3BB69-23CF-44E3-9099-C40C66FF867C}">
                  <a14:compatExt spid="_x0000_s21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89</xdr:row>
          <xdr:rowOff>19050</xdr:rowOff>
        </xdr:from>
        <xdr:to>
          <xdr:col>2</xdr:col>
          <xdr:colOff>409575</xdr:colOff>
          <xdr:row>89</xdr:row>
          <xdr:rowOff>142875</xdr:rowOff>
        </xdr:to>
        <xdr:sp macro="" textlink="">
          <xdr:nvSpPr>
            <xdr:cNvPr id="2141" name="VarErr87" hidden="1">
              <a:extLst>
                <a:ext uri="{63B3BB69-23CF-44E3-9099-C40C66FF867C}">
                  <a14:compatExt spid="_x0000_s21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90</xdr:row>
          <xdr:rowOff>19050</xdr:rowOff>
        </xdr:from>
        <xdr:to>
          <xdr:col>2</xdr:col>
          <xdr:colOff>409575</xdr:colOff>
          <xdr:row>90</xdr:row>
          <xdr:rowOff>142875</xdr:rowOff>
        </xdr:to>
        <xdr:sp macro="" textlink="">
          <xdr:nvSpPr>
            <xdr:cNvPr id="2142" name="VarErr88" hidden="1">
              <a:extLst>
                <a:ext uri="{63B3BB69-23CF-44E3-9099-C40C66FF867C}">
                  <a14:compatExt spid="_x0000_s21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91</xdr:row>
          <xdr:rowOff>19050</xdr:rowOff>
        </xdr:from>
        <xdr:to>
          <xdr:col>2</xdr:col>
          <xdr:colOff>409575</xdr:colOff>
          <xdr:row>91</xdr:row>
          <xdr:rowOff>142875</xdr:rowOff>
        </xdr:to>
        <xdr:sp macro="" textlink="">
          <xdr:nvSpPr>
            <xdr:cNvPr id="2143" name="VarErr89" hidden="1">
              <a:extLst>
                <a:ext uri="{63B3BB69-23CF-44E3-9099-C40C66FF867C}">
                  <a14:compatExt spid="_x0000_s21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xdr:row>
          <xdr:rowOff>19050</xdr:rowOff>
        </xdr:from>
        <xdr:to>
          <xdr:col>3</xdr:col>
          <xdr:colOff>409575</xdr:colOff>
          <xdr:row>3</xdr:row>
          <xdr:rowOff>142875</xdr:rowOff>
        </xdr:to>
        <xdr:sp macro="" textlink="">
          <xdr:nvSpPr>
            <xdr:cNvPr id="2144" name="VarPreSelect1" hidden="1">
              <a:extLst>
                <a:ext uri="{63B3BB69-23CF-44E3-9099-C40C66FF867C}">
                  <a14:compatExt spid="_x0000_s21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xdr:row>
          <xdr:rowOff>19050</xdr:rowOff>
        </xdr:from>
        <xdr:to>
          <xdr:col>3</xdr:col>
          <xdr:colOff>409575</xdr:colOff>
          <xdr:row>4</xdr:row>
          <xdr:rowOff>142875</xdr:rowOff>
        </xdr:to>
        <xdr:sp macro="" textlink="">
          <xdr:nvSpPr>
            <xdr:cNvPr id="2145" name="VarPreSelect2" hidden="1">
              <a:extLst>
                <a:ext uri="{63B3BB69-23CF-44E3-9099-C40C66FF867C}">
                  <a14:compatExt spid="_x0000_s21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xdr:row>
          <xdr:rowOff>19050</xdr:rowOff>
        </xdr:from>
        <xdr:to>
          <xdr:col>3</xdr:col>
          <xdr:colOff>409575</xdr:colOff>
          <xdr:row>5</xdr:row>
          <xdr:rowOff>142875</xdr:rowOff>
        </xdr:to>
        <xdr:sp macro="" textlink="">
          <xdr:nvSpPr>
            <xdr:cNvPr id="2146" name="VarPreSelect3" hidden="1">
              <a:extLst>
                <a:ext uri="{63B3BB69-23CF-44E3-9099-C40C66FF867C}">
                  <a14:compatExt spid="_x0000_s21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xdr:row>
          <xdr:rowOff>19050</xdr:rowOff>
        </xdr:from>
        <xdr:to>
          <xdr:col>3</xdr:col>
          <xdr:colOff>409575</xdr:colOff>
          <xdr:row>6</xdr:row>
          <xdr:rowOff>142875</xdr:rowOff>
        </xdr:to>
        <xdr:sp macro="" textlink="">
          <xdr:nvSpPr>
            <xdr:cNvPr id="2147" name="VarPreSelect4" hidden="1">
              <a:extLst>
                <a:ext uri="{63B3BB69-23CF-44E3-9099-C40C66FF867C}">
                  <a14:compatExt spid="_x0000_s21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xdr:row>
          <xdr:rowOff>19050</xdr:rowOff>
        </xdr:from>
        <xdr:to>
          <xdr:col>3</xdr:col>
          <xdr:colOff>409575</xdr:colOff>
          <xdr:row>7</xdr:row>
          <xdr:rowOff>142875</xdr:rowOff>
        </xdr:to>
        <xdr:sp macro="" textlink="">
          <xdr:nvSpPr>
            <xdr:cNvPr id="2148" name="VarPreSelect5" hidden="1">
              <a:extLst>
                <a:ext uri="{63B3BB69-23CF-44E3-9099-C40C66FF867C}">
                  <a14:compatExt spid="_x0000_s21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xdr:row>
          <xdr:rowOff>19050</xdr:rowOff>
        </xdr:from>
        <xdr:to>
          <xdr:col>3</xdr:col>
          <xdr:colOff>409575</xdr:colOff>
          <xdr:row>8</xdr:row>
          <xdr:rowOff>142875</xdr:rowOff>
        </xdr:to>
        <xdr:sp macro="" textlink="">
          <xdr:nvSpPr>
            <xdr:cNvPr id="2149" name="VarPreSelect6" hidden="1">
              <a:extLst>
                <a:ext uri="{63B3BB69-23CF-44E3-9099-C40C66FF867C}">
                  <a14:compatExt spid="_x0000_s21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xdr:row>
          <xdr:rowOff>19050</xdr:rowOff>
        </xdr:from>
        <xdr:to>
          <xdr:col>3</xdr:col>
          <xdr:colOff>409575</xdr:colOff>
          <xdr:row>9</xdr:row>
          <xdr:rowOff>142875</xdr:rowOff>
        </xdr:to>
        <xdr:sp macro="" textlink="">
          <xdr:nvSpPr>
            <xdr:cNvPr id="2150" name="VarPreSelect7" hidden="1">
              <a:extLst>
                <a:ext uri="{63B3BB69-23CF-44E3-9099-C40C66FF867C}">
                  <a14:compatExt spid="_x0000_s21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10</xdr:row>
          <xdr:rowOff>19050</xdr:rowOff>
        </xdr:from>
        <xdr:to>
          <xdr:col>3</xdr:col>
          <xdr:colOff>409575</xdr:colOff>
          <xdr:row>10</xdr:row>
          <xdr:rowOff>142875</xdr:rowOff>
        </xdr:to>
        <xdr:sp macro="" textlink="">
          <xdr:nvSpPr>
            <xdr:cNvPr id="2151" name="VarPreSelect8" hidden="1">
              <a:extLst>
                <a:ext uri="{63B3BB69-23CF-44E3-9099-C40C66FF867C}">
                  <a14:compatExt spid="_x0000_s21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11</xdr:row>
          <xdr:rowOff>19050</xdr:rowOff>
        </xdr:from>
        <xdr:to>
          <xdr:col>3</xdr:col>
          <xdr:colOff>409575</xdr:colOff>
          <xdr:row>11</xdr:row>
          <xdr:rowOff>142875</xdr:rowOff>
        </xdr:to>
        <xdr:sp macro="" textlink="">
          <xdr:nvSpPr>
            <xdr:cNvPr id="2152" name="VarPreSelect9" hidden="1">
              <a:extLst>
                <a:ext uri="{63B3BB69-23CF-44E3-9099-C40C66FF867C}">
                  <a14:compatExt spid="_x0000_s21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12</xdr:row>
          <xdr:rowOff>19050</xdr:rowOff>
        </xdr:from>
        <xdr:to>
          <xdr:col>3</xdr:col>
          <xdr:colOff>409575</xdr:colOff>
          <xdr:row>12</xdr:row>
          <xdr:rowOff>142875</xdr:rowOff>
        </xdr:to>
        <xdr:sp macro="" textlink="">
          <xdr:nvSpPr>
            <xdr:cNvPr id="2153" name="VarPreSelect10" hidden="1">
              <a:extLst>
                <a:ext uri="{63B3BB69-23CF-44E3-9099-C40C66FF867C}">
                  <a14:compatExt spid="_x0000_s21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13</xdr:row>
          <xdr:rowOff>19050</xdr:rowOff>
        </xdr:from>
        <xdr:to>
          <xdr:col>3</xdr:col>
          <xdr:colOff>409575</xdr:colOff>
          <xdr:row>13</xdr:row>
          <xdr:rowOff>142875</xdr:rowOff>
        </xdr:to>
        <xdr:sp macro="" textlink="">
          <xdr:nvSpPr>
            <xdr:cNvPr id="2154" name="VarPreSelect11" hidden="1">
              <a:extLst>
                <a:ext uri="{63B3BB69-23CF-44E3-9099-C40C66FF867C}">
                  <a14:compatExt spid="_x0000_s21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14</xdr:row>
          <xdr:rowOff>19050</xdr:rowOff>
        </xdr:from>
        <xdr:to>
          <xdr:col>3</xdr:col>
          <xdr:colOff>409575</xdr:colOff>
          <xdr:row>14</xdr:row>
          <xdr:rowOff>142875</xdr:rowOff>
        </xdr:to>
        <xdr:sp macro="" textlink="">
          <xdr:nvSpPr>
            <xdr:cNvPr id="2155" name="VarPreSelect12" hidden="1">
              <a:extLst>
                <a:ext uri="{63B3BB69-23CF-44E3-9099-C40C66FF867C}">
                  <a14:compatExt spid="_x0000_s21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15</xdr:row>
          <xdr:rowOff>19050</xdr:rowOff>
        </xdr:from>
        <xdr:to>
          <xdr:col>3</xdr:col>
          <xdr:colOff>409575</xdr:colOff>
          <xdr:row>15</xdr:row>
          <xdr:rowOff>142875</xdr:rowOff>
        </xdr:to>
        <xdr:sp macro="" textlink="">
          <xdr:nvSpPr>
            <xdr:cNvPr id="2156" name="VarPreSelect13" hidden="1">
              <a:extLst>
                <a:ext uri="{63B3BB69-23CF-44E3-9099-C40C66FF867C}">
                  <a14:compatExt spid="_x0000_s21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16</xdr:row>
          <xdr:rowOff>19050</xdr:rowOff>
        </xdr:from>
        <xdr:to>
          <xdr:col>3</xdr:col>
          <xdr:colOff>409575</xdr:colOff>
          <xdr:row>16</xdr:row>
          <xdr:rowOff>142875</xdr:rowOff>
        </xdr:to>
        <xdr:sp macro="" textlink="">
          <xdr:nvSpPr>
            <xdr:cNvPr id="2157" name="VarPreSelect14" hidden="1">
              <a:extLst>
                <a:ext uri="{63B3BB69-23CF-44E3-9099-C40C66FF867C}">
                  <a14:compatExt spid="_x0000_s21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17</xdr:row>
          <xdr:rowOff>19050</xdr:rowOff>
        </xdr:from>
        <xdr:to>
          <xdr:col>3</xdr:col>
          <xdr:colOff>409575</xdr:colOff>
          <xdr:row>17</xdr:row>
          <xdr:rowOff>142875</xdr:rowOff>
        </xdr:to>
        <xdr:sp macro="" textlink="">
          <xdr:nvSpPr>
            <xdr:cNvPr id="2158" name="VarPreSelect15" hidden="1">
              <a:extLst>
                <a:ext uri="{63B3BB69-23CF-44E3-9099-C40C66FF867C}">
                  <a14:compatExt spid="_x0000_s21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18</xdr:row>
          <xdr:rowOff>19050</xdr:rowOff>
        </xdr:from>
        <xdr:to>
          <xdr:col>3</xdr:col>
          <xdr:colOff>409575</xdr:colOff>
          <xdr:row>18</xdr:row>
          <xdr:rowOff>142875</xdr:rowOff>
        </xdr:to>
        <xdr:sp macro="" textlink="">
          <xdr:nvSpPr>
            <xdr:cNvPr id="2159" name="VarPreSelect16" hidden="1">
              <a:extLst>
                <a:ext uri="{63B3BB69-23CF-44E3-9099-C40C66FF867C}">
                  <a14:compatExt spid="_x0000_s21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19</xdr:row>
          <xdr:rowOff>19050</xdr:rowOff>
        </xdr:from>
        <xdr:to>
          <xdr:col>3</xdr:col>
          <xdr:colOff>409575</xdr:colOff>
          <xdr:row>19</xdr:row>
          <xdr:rowOff>142875</xdr:rowOff>
        </xdr:to>
        <xdr:sp macro="" textlink="">
          <xdr:nvSpPr>
            <xdr:cNvPr id="2160" name="VarPreSelect17" hidden="1">
              <a:extLst>
                <a:ext uri="{63B3BB69-23CF-44E3-9099-C40C66FF867C}">
                  <a14:compatExt spid="_x0000_s21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20</xdr:row>
          <xdr:rowOff>19050</xdr:rowOff>
        </xdr:from>
        <xdr:to>
          <xdr:col>3</xdr:col>
          <xdr:colOff>409575</xdr:colOff>
          <xdr:row>20</xdr:row>
          <xdr:rowOff>142875</xdr:rowOff>
        </xdr:to>
        <xdr:sp macro="" textlink="">
          <xdr:nvSpPr>
            <xdr:cNvPr id="2161" name="VarPreSelect18" hidden="1">
              <a:extLst>
                <a:ext uri="{63B3BB69-23CF-44E3-9099-C40C66FF867C}">
                  <a14:compatExt spid="_x0000_s21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21</xdr:row>
          <xdr:rowOff>19050</xdr:rowOff>
        </xdr:from>
        <xdr:to>
          <xdr:col>3</xdr:col>
          <xdr:colOff>409575</xdr:colOff>
          <xdr:row>21</xdr:row>
          <xdr:rowOff>142875</xdr:rowOff>
        </xdr:to>
        <xdr:sp macro="" textlink="">
          <xdr:nvSpPr>
            <xdr:cNvPr id="2162" name="VarPreSelect19" hidden="1">
              <a:extLst>
                <a:ext uri="{63B3BB69-23CF-44E3-9099-C40C66FF867C}">
                  <a14:compatExt spid="_x0000_s21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22</xdr:row>
          <xdr:rowOff>19050</xdr:rowOff>
        </xdr:from>
        <xdr:to>
          <xdr:col>3</xdr:col>
          <xdr:colOff>409575</xdr:colOff>
          <xdr:row>22</xdr:row>
          <xdr:rowOff>142875</xdr:rowOff>
        </xdr:to>
        <xdr:sp macro="" textlink="">
          <xdr:nvSpPr>
            <xdr:cNvPr id="2163" name="VarPreSelect20" hidden="1">
              <a:extLst>
                <a:ext uri="{63B3BB69-23CF-44E3-9099-C40C66FF867C}">
                  <a14:compatExt spid="_x0000_s21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23</xdr:row>
          <xdr:rowOff>19050</xdr:rowOff>
        </xdr:from>
        <xdr:to>
          <xdr:col>3</xdr:col>
          <xdr:colOff>409575</xdr:colOff>
          <xdr:row>23</xdr:row>
          <xdr:rowOff>142875</xdr:rowOff>
        </xdr:to>
        <xdr:sp macro="" textlink="">
          <xdr:nvSpPr>
            <xdr:cNvPr id="2164" name="VarPreSelect21" hidden="1">
              <a:extLst>
                <a:ext uri="{63B3BB69-23CF-44E3-9099-C40C66FF867C}">
                  <a14:compatExt spid="_x0000_s21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24</xdr:row>
          <xdr:rowOff>19050</xdr:rowOff>
        </xdr:from>
        <xdr:to>
          <xdr:col>3</xdr:col>
          <xdr:colOff>409575</xdr:colOff>
          <xdr:row>24</xdr:row>
          <xdr:rowOff>142875</xdr:rowOff>
        </xdr:to>
        <xdr:sp macro="" textlink="">
          <xdr:nvSpPr>
            <xdr:cNvPr id="2165" name="VarPreSelect22" hidden="1">
              <a:extLst>
                <a:ext uri="{63B3BB69-23CF-44E3-9099-C40C66FF867C}">
                  <a14:compatExt spid="_x0000_s21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25</xdr:row>
          <xdr:rowOff>19050</xdr:rowOff>
        </xdr:from>
        <xdr:to>
          <xdr:col>3</xdr:col>
          <xdr:colOff>409575</xdr:colOff>
          <xdr:row>25</xdr:row>
          <xdr:rowOff>142875</xdr:rowOff>
        </xdr:to>
        <xdr:sp macro="" textlink="">
          <xdr:nvSpPr>
            <xdr:cNvPr id="2166" name="VarPreSelect23" hidden="1">
              <a:extLst>
                <a:ext uri="{63B3BB69-23CF-44E3-9099-C40C66FF867C}">
                  <a14:compatExt spid="_x0000_s21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26</xdr:row>
          <xdr:rowOff>19050</xdr:rowOff>
        </xdr:from>
        <xdr:to>
          <xdr:col>3</xdr:col>
          <xdr:colOff>409575</xdr:colOff>
          <xdr:row>26</xdr:row>
          <xdr:rowOff>142875</xdr:rowOff>
        </xdr:to>
        <xdr:sp macro="" textlink="">
          <xdr:nvSpPr>
            <xdr:cNvPr id="2167" name="VarPreSelect24" hidden="1">
              <a:extLst>
                <a:ext uri="{63B3BB69-23CF-44E3-9099-C40C66FF867C}">
                  <a14:compatExt spid="_x0000_s21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27</xdr:row>
          <xdr:rowOff>19050</xdr:rowOff>
        </xdr:from>
        <xdr:to>
          <xdr:col>3</xdr:col>
          <xdr:colOff>409575</xdr:colOff>
          <xdr:row>27</xdr:row>
          <xdr:rowOff>142875</xdr:rowOff>
        </xdr:to>
        <xdr:sp macro="" textlink="">
          <xdr:nvSpPr>
            <xdr:cNvPr id="2168" name="VarPreSelect25" hidden="1">
              <a:extLst>
                <a:ext uri="{63B3BB69-23CF-44E3-9099-C40C66FF867C}">
                  <a14:compatExt spid="_x0000_s21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28</xdr:row>
          <xdr:rowOff>19050</xdr:rowOff>
        </xdr:from>
        <xdr:to>
          <xdr:col>3</xdr:col>
          <xdr:colOff>409575</xdr:colOff>
          <xdr:row>28</xdr:row>
          <xdr:rowOff>142875</xdr:rowOff>
        </xdr:to>
        <xdr:sp macro="" textlink="">
          <xdr:nvSpPr>
            <xdr:cNvPr id="2169" name="VarPreSelect26" hidden="1">
              <a:extLst>
                <a:ext uri="{63B3BB69-23CF-44E3-9099-C40C66FF867C}">
                  <a14:compatExt spid="_x0000_s21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29</xdr:row>
          <xdr:rowOff>19050</xdr:rowOff>
        </xdr:from>
        <xdr:to>
          <xdr:col>3</xdr:col>
          <xdr:colOff>409575</xdr:colOff>
          <xdr:row>29</xdr:row>
          <xdr:rowOff>142875</xdr:rowOff>
        </xdr:to>
        <xdr:sp macro="" textlink="">
          <xdr:nvSpPr>
            <xdr:cNvPr id="2170" name="VarPreSelect27" hidden="1">
              <a:extLst>
                <a:ext uri="{63B3BB69-23CF-44E3-9099-C40C66FF867C}">
                  <a14:compatExt spid="_x0000_s21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30</xdr:row>
          <xdr:rowOff>19050</xdr:rowOff>
        </xdr:from>
        <xdr:to>
          <xdr:col>3</xdr:col>
          <xdr:colOff>409575</xdr:colOff>
          <xdr:row>30</xdr:row>
          <xdr:rowOff>142875</xdr:rowOff>
        </xdr:to>
        <xdr:sp macro="" textlink="">
          <xdr:nvSpPr>
            <xdr:cNvPr id="2171" name="VarPreSelect28" hidden="1">
              <a:extLst>
                <a:ext uri="{63B3BB69-23CF-44E3-9099-C40C66FF867C}">
                  <a14:compatExt spid="_x0000_s21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31</xdr:row>
          <xdr:rowOff>19050</xdr:rowOff>
        </xdr:from>
        <xdr:to>
          <xdr:col>3</xdr:col>
          <xdr:colOff>409575</xdr:colOff>
          <xdr:row>31</xdr:row>
          <xdr:rowOff>142875</xdr:rowOff>
        </xdr:to>
        <xdr:sp macro="" textlink="">
          <xdr:nvSpPr>
            <xdr:cNvPr id="2172" name="VarPreSelect29" hidden="1">
              <a:extLst>
                <a:ext uri="{63B3BB69-23CF-44E3-9099-C40C66FF867C}">
                  <a14:compatExt spid="_x0000_s21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32</xdr:row>
          <xdr:rowOff>19050</xdr:rowOff>
        </xdr:from>
        <xdr:to>
          <xdr:col>3</xdr:col>
          <xdr:colOff>409575</xdr:colOff>
          <xdr:row>32</xdr:row>
          <xdr:rowOff>142875</xdr:rowOff>
        </xdr:to>
        <xdr:sp macro="" textlink="">
          <xdr:nvSpPr>
            <xdr:cNvPr id="2173" name="VarPreSelect30" hidden="1">
              <a:extLst>
                <a:ext uri="{63B3BB69-23CF-44E3-9099-C40C66FF867C}">
                  <a14:compatExt spid="_x0000_s21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33</xdr:row>
          <xdr:rowOff>19050</xdr:rowOff>
        </xdr:from>
        <xdr:to>
          <xdr:col>3</xdr:col>
          <xdr:colOff>409575</xdr:colOff>
          <xdr:row>33</xdr:row>
          <xdr:rowOff>142875</xdr:rowOff>
        </xdr:to>
        <xdr:sp macro="" textlink="">
          <xdr:nvSpPr>
            <xdr:cNvPr id="2174" name="VarPreSelect31" hidden="1">
              <a:extLst>
                <a:ext uri="{63B3BB69-23CF-44E3-9099-C40C66FF867C}">
                  <a14:compatExt spid="_x0000_s21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34</xdr:row>
          <xdr:rowOff>19050</xdr:rowOff>
        </xdr:from>
        <xdr:to>
          <xdr:col>3</xdr:col>
          <xdr:colOff>409575</xdr:colOff>
          <xdr:row>34</xdr:row>
          <xdr:rowOff>142875</xdr:rowOff>
        </xdr:to>
        <xdr:sp macro="" textlink="">
          <xdr:nvSpPr>
            <xdr:cNvPr id="2175" name="VarPreSelect32" hidden="1">
              <a:extLst>
                <a:ext uri="{63B3BB69-23CF-44E3-9099-C40C66FF867C}">
                  <a14:compatExt spid="_x0000_s21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35</xdr:row>
          <xdr:rowOff>19050</xdr:rowOff>
        </xdr:from>
        <xdr:to>
          <xdr:col>3</xdr:col>
          <xdr:colOff>409575</xdr:colOff>
          <xdr:row>35</xdr:row>
          <xdr:rowOff>142875</xdr:rowOff>
        </xdr:to>
        <xdr:sp macro="" textlink="">
          <xdr:nvSpPr>
            <xdr:cNvPr id="2176" name="VarPreSelect33" hidden="1">
              <a:extLst>
                <a:ext uri="{63B3BB69-23CF-44E3-9099-C40C66FF867C}">
                  <a14:compatExt spid="_x0000_s21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36</xdr:row>
          <xdr:rowOff>19050</xdr:rowOff>
        </xdr:from>
        <xdr:to>
          <xdr:col>3</xdr:col>
          <xdr:colOff>409575</xdr:colOff>
          <xdr:row>36</xdr:row>
          <xdr:rowOff>142875</xdr:rowOff>
        </xdr:to>
        <xdr:sp macro="" textlink="">
          <xdr:nvSpPr>
            <xdr:cNvPr id="2177" name="VarPreSelect34" hidden="1">
              <a:extLst>
                <a:ext uri="{63B3BB69-23CF-44E3-9099-C40C66FF867C}">
                  <a14:compatExt spid="_x0000_s21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37</xdr:row>
          <xdr:rowOff>19050</xdr:rowOff>
        </xdr:from>
        <xdr:to>
          <xdr:col>3</xdr:col>
          <xdr:colOff>409575</xdr:colOff>
          <xdr:row>37</xdr:row>
          <xdr:rowOff>142875</xdr:rowOff>
        </xdr:to>
        <xdr:sp macro="" textlink="">
          <xdr:nvSpPr>
            <xdr:cNvPr id="2178" name="VarPreSelect35" hidden="1">
              <a:extLst>
                <a:ext uri="{63B3BB69-23CF-44E3-9099-C40C66FF867C}">
                  <a14:compatExt spid="_x0000_s21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38</xdr:row>
          <xdr:rowOff>19050</xdr:rowOff>
        </xdr:from>
        <xdr:to>
          <xdr:col>3</xdr:col>
          <xdr:colOff>409575</xdr:colOff>
          <xdr:row>38</xdr:row>
          <xdr:rowOff>142875</xdr:rowOff>
        </xdr:to>
        <xdr:sp macro="" textlink="">
          <xdr:nvSpPr>
            <xdr:cNvPr id="2179" name="VarPreSelect36" hidden="1">
              <a:extLst>
                <a:ext uri="{63B3BB69-23CF-44E3-9099-C40C66FF867C}">
                  <a14:compatExt spid="_x0000_s21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39</xdr:row>
          <xdr:rowOff>19050</xdr:rowOff>
        </xdr:from>
        <xdr:to>
          <xdr:col>3</xdr:col>
          <xdr:colOff>409575</xdr:colOff>
          <xdr:row>39</xdr:row>
          <xdr:rowOff>142875</xdr:rowOff>
        </xdr:to>
        <xdr:sp macro="" textlink="">
          <xdr:nvSpPr>
            <xdr:cNvPr id="2180" name="VarPreSelect37" hidden="1">
              <a:extLst>
                <a:ext uri="{63B3BB69-23CF-44E3-9099-C40C66FF867C}">
                  <a14:compatExt spid="_x0000_s21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40</xdr:row>
          <xdr:rowOff>19050</xdr:rowOff>
        </xdr:from>
        <xdr:to>
          <xdr:col>3</xdr:col>
          <xdr:colOff>409575</xdr:colOff>
          <xdr:row>40</xdr:row>
          <xdr:rowOff>142875</xdr:rowOff>
        </xdr:to>
        <xdr:sp macro="" textlink="">
          <xdr:nvSpPr>
            <xdr:cNvPr id="2181" name="VarPreSelect38" hidden="1">
              <a:extLst>
                <a:ext uri="{63B3BB69-23CF-44E3-9099-C40C66FF867C}">
                  <a14:compatExt spid="_x0000_s21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41</xdr:row>
          <xdr:rowOff>19050</xdr:rowOff>
        </xdr:from>
        <xdr:to>
          <xdr:col>3</xdr:col>
          <xdr:colOff>409575</xdr:colOff>
          <xdr:row>41</xdr:row>
          <xdr:rowOff>142875</xdr:rowOff>
        </xdr:to>
        <xdr:sp macro="" textlink="">
          <xdr:nvSpPr>
            <xdr:cNvPr id="2182" name="VarPreSelect39" hidden="1">
              <a:extLst>
                <a:ext uri="{63B3BB69-23CF-44E3-9099-C40C66FF867C}">
                  <a14:compatExt spid="_x0000_s21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42</xdr:row>
          <xdr:rowOff>19050</xdr:rowOff>
        </xdr:from>
        <xdr:to>
          <xdr:col>3</xdr:col>
          <xdr:colOff>409575</xdr:colOff>
          <xdr:row>42</xdr:row>
          <xdr:rowOff>142875</xdr:rowOff>
        </xdr:to>
        <xdr:sp macro="" textlink="">
          <xdr:nvSpPr>
            <xdr:cNvPr id="2183" name="VarPreSelect40" hidden="1">
              <a:extLst>
                <a:ext uri="{63B3BB69-23CF-44E3-9099-C40C66FF867C}">
                  <a14:compatExt spid="_x0000_s21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43</xdr:row>
          <xdr:rowOff>19050</xdr:rowOff>
        </xdr:from>
        <xdr:to>
          <xdr:col>3</xdr:col>
          <xdr:colOff>409575</xdr:colOff>
          <xdr:row>43</xdr:row>
          <xdr:rowOff>142875</xdr:rowOff>
        </xdr:to>
        <xdr:sp macro="" textlink="">
          <xdr:nvSpPr>
            <xdr:cNvPr id="2184" name="VarPreSelect41" hidden="1">
              <a:extLst>
                <a:ext uri="{63B3BB69-23CF-44E3-9099-C40C66FF867C}">
                  <a14:compatExt spid="_x0000_s21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44</xdr:row>
          <xdr:rowOff>19050</xdr:rowOff>
        </xdr:from>
        <xdr:to>
          <xdr:col>3</xdr:col>
          <xdr:colOff>409575</xdr:colOff>
          <xdr:row>44</xdr:row>
          <xdr:rowOff>142875</xdr:rowOff>
        </xdr:to>
        <xdr:sp macro="" textlink="">
          <xdr:nvSpPr>
            <xdr:cNvPr id="2185" name="VarPreSelect42" hidden="1">
              <a:extLst>
                <a:ext uri="{63B3BB69-23CF-44E3-9099-C40C66FF867C}">
                  <a14:compatExt spid="_x0000_s21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45</xdr:row>
          <xdr:rowOff>19050</xdr:rowOff>
        </xdr:from>
        <xdr:to>
          <xdr:col>3</xdr:col>
          <xdr:colOff>409575</xdr:colOff>
          <xdr:row>45</xdr:row>
          <xdr:rowOff>142875</xdr:rowOff>
        </xdr:to>
        <xdr:sp macro="" textlink="">
          <xdr:nvSpPr>
            <xdr:cNvPr id="2186" name="VarPreSelect43" hidden="1">
              <a:extLst>
                <a:ext uri="{63B3BB69-23CF-44E3-9099-C40C66FF867C}">
                  <a14:compatExt spid="_x0000_s21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46</xdr:row>
          <xdr:rowOff>19050</xdr:rowOff>
        </xdr:from>
        <xdr:to>
          <xdr:col>3</xdr:col>
          <xdr:colOff>409575</xdr:colOff>
          <xdr:row>46</xdr:row>
          <xdr:rowOff>142875</xdr:rowOff>
        </xdr:to>
        <xdr:sp macro="" textlink="">
          <xdr:nvSpPr>
            <xdr:cNvPr id="2187" name="VarPreSelect44" hidden="1">
              <a:extLst>
                <a:ext uri="{63B3BB69-23CF-44E3-9099-C40C66FF867C}">
                  <a14:compatExt spid="_x0000_s21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47</xdr:row>
          <xdr:rowOff>19050</xdr:rowOff>
        </xdr:from>
        <xdr:to>
          <xdr:col>3</xdr:col>
          <xdr:colOff>409575</xdr:colOff>
          <xdr:row>47</xdr:row>
          <xdr:rowOff>142875</xdr:rowOff>
        </xdr:to>
        <xdr:sp macro="" textlink="">
          <xdr:nvSpPr>
            <xdr:cNvPr id="2188" name="VarPreSelect45" hidden="1">
              <a:extLst>
                <a:ext uri="{63B3BB69-23CF-44E3-9099-C40C66FF867C}">
                  <a14:compatExt spid="_x0000_s21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48</xdr:row>
          <xdr:rowOff>19050</xdr:rowOff>
        </xdr:from>
        <xdr:to>
          <xdr:col>3</xdr:col>
          <xdr:colOff>409575</xdr:colOff>
          <xdr:row>48</xdr:row>
          <xdr:rowOff>142875</xdr:rowOff>
        </xdr:to>
        <xdr:sp macro="" textlink="">
          <xdr:nvSpPr>
            <xdr:cNvPr id="2189" name="VarPreSelect46" hidden="1">
              <a:extLst>
                <a:ext uri="{63B3BB69-23CF-44E3-9099-C40C66FF867C}">
                  <a14:compatExt spid="_x0000_s21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49</xdr:row>
          <xdr:rowOff>19050</xdr:rowOff>
        </xdr:from>
        <xdr:to>
          <xdr:col>3</xdr:col>
          <xdr:colOff>409575</xdr:colOff>
          <xdr:row>49</xdr:row>
          <xdr:rowOff>142875</xdr:rowOff>
        </xdr:to>
        <xdr:sp macro="" textlink="">
          <xdr:nvSpPr>
            <xdr:cNvPr id="2190" name="VarPreSelect47" hidden="1">
              <a:extLst>
                <a:ext uri="{63B3BB69-23CF-44E3-9099-C40C66FF867C}">
                  <a14:compatExt spid="_x0000_s21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50</xdr:row>
          <xdr:rowOff>19050</xdr:rowOff>
        </xdr:from>
        <xdr:to>
          <xdr:col>3</xdr:col>
          <xdr:colOff>409575</xdr:colOff>
          <xdr:row>50</xdr:row>
          <xdr:rowOff>142875</xdr:rowOff>
        </xdr:to>
        <xdr:sp macro="" textlink="">
          <xdr:nvSpPr>
            <xdr:cNvPr id="2191" name="VarPreSelect48" hidden="1">
              <a:extLst>
                <a:ext uri="{63B3BB69-23CF-44E3-9099-C40C66FF867C}">
                  <a14:compatExt spid="_x0000_s21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51</xdr:row>
          <xdr:rowOff>19050</xdr:rowOff>
        </xdr:from>
        <xdr:to>
          <xdr:col>3</xdr:col>
          <xdr:colOff>409575</xdr:colOff>
          <xdr:row>51</xdr:row>
          <xdr:rowOff>142875</xdr:rowOff>
        </xdr:to>
        <xdr:sp macro="" textlink="">
          <xdr:nvSpPr>
            <xdr:cNvPr id="2192" name="VarPreSelect49" hidden="1">
              <a:extLst>
                <a:ext uri="{63B3BB69-23CF-44E3-9099-C40C66FF867C}">
                  <a14:compatExt spid="_x0000_s21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52</xdr:row>
          <xdr:rowOff>19050</xdr:rowOff>
        </xdr:from>
        <xdr:to>
          <xdr:col>3</xdr:col>
          <xdr:colOff>409575</xdr:colOff>
          <xdr:row>52</xdr:row>
          <xdr:rowOff>142875</xdr:rowOff>
        </xdr:to>
        <xdr:sp macro="" textlink="">
          <xdr:nvSpPr>
            <xdr:cNvPr id="2193" name="VarPreSelect50" hidden="1">
              <a:extLst>
                <a:ext uri="{63B3BB69-23CF-44E3-9099-C40C66FF867C}">
                  <a14:compatExt spid="_x0000_s21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53</xdr:row>
          <xdr:rowOff>19050</xdr:rowOff>
        </xdr:from>
        <xdr:to>
          <xdr:col>3</xdr:col>
          <xdr:colOff>409575</xdr:colOff>
          <xdr:row>53</xdr:row>
          <xdr:rowOff>142875</xdr:rowOff>
        </xdr:to>
        <xdr:sp macro="" textlink="">
          <xdr:nvSpPr>
            <xdr:cNvPr id="2194" name="VarPreSelect51" hidden="1">
              <a:extLst>
                <a:ext uri="{63B3BB69-23CF-44E3-9099-C40C66FF867C}">
                  <a14:compatExt spid="_x0000_s21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54</xdr:row>
          <xdr:rowOff>19050</xdr:rowOff>
        </xdr:from>
        <xdr:to>
          <xdr:col>3</xdr:col>
          <xdr:colOff>409575</xdr:colOff>
          <xdr:row>54</xdr:row>
          <xdr:rowOff>142875</xdr:rowOff>
        </xdr:to>
        <xdr:sp macro="" textlink="">
          <xdr:nvSpPr>
            <xdr:cNvPr id="2195" name="VarPreSelect52" hidden="1">
              <a:extLst>
                <a:ext uri="{63B3BB69-23CF-44E3-9099-C40C66FF867C}">
                  <a14:compatExt spid="_x0000_s21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55</xdr:row>
          <xdr:rowOff>19050</xdr:rowOff>
        </xdr:from>
        <xdr:to>
          <xdr:col>3</xdr:col>
          <xdr:colOff>409575</xdr:colOff>
          <xdr:row>55</xdr:row>
          <xdr:rowOff>142875</xdr:rowOff>
        </xdr:to>
        <xdr:sp macro="" textlink="">
          <xdr:nvSpPr>
            <xdr:cNvPr id="2196" name="VarPreSelect53" hidden="1">
              <a:extLst>
                <a:ext uri="{63B3BB69-23CF-44E3-9099-C40C66FF867C}">
                  <a14:compatExt spid="_x0000_s21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56</xdr:row>
          <xdr:rowOff>19050</xdr:rowOff>
        </xdr:from>
        <xdr:to>
          <xdr:col>3</xdr:col>
          <xdr:colOff>409575</xdr:colOff>
          <xdr:row>56</xdr:row>
          <xdr:rowOff>142875</xdr:rowOff>
        </xdr:to>
        <xdr:sp macro="" textlink="">
          <xdr:nvSpPr>
            <xdr:cNvPr id="2197" name="VarPreSelect54" hidden="1">
              <a:extLst>
                <a:ext uri="{63B3BB69-23CF-44E3-9099-C40C66FF867C}">
                  <a14:compatExt spid="_x0000_s21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57</xdr:row>
          <xdr:rowOff>19050</xdr:rowOff>
        </xdr:from>
        <xdr:to>
          <xdr:col>3</xdr:col>
          <xdr:colOff>409575</xdr:colOff>
          <xdr:row>57</xdr:row>
          <xdr:rowOff>142875</xdr:rowOff>
        </xdr:to>
        <xdr:sp macro="" textlink="">
          <xdr:nvSpPr>
            <xdr:cNvPr id="2198" name="VarPreSelect55" hidden="1">
              <a:extLst>
                <a:ext uri="{63B3BB69-23CF-44E3-9099-C40C66FF867C}">
                  <a14:compatExt spid="_x0000_s21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58</xdr:row>
          <xdr:rowOff>19050</xdr:rowOff>
        </xdr:from>
        <xdr:to>
          <xdr:col>3</xdr:col>
          <xdr:colOff>409575</xdr:colOff>
          <xdr:row>58</xdr:row>
          <xdr:rowOff>142875</xdr:rowOff>
        </xdr:to>
        <xdr:sp macro="" textlink="">
          <xdr:nvSpPr>
            <xdr:cNvPr id="2199" name="VarPreSelect56" hidden="1">
              <a:extLst>
                <a:ext uri="{63B3BB69-23CF-44E3-9099-C40C66FF867C}">
                  <a14:compatExt spid="_x0000_s21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59</xdr:row>
          <xdr:rowOff>19050</xdr:rowOff>
        </xdr:from>
        <xdr:to>
          <xdr:col>3</xdr:col>
          <xdr:colOff>409575</xdr:colOff>
          <xdr:row>59</xdr:row>
          <xdr:rowOff>142875</xdr:rowOff>
        </xdr:to>
        <xdr:sp macro="" textlink="">
          <xdr:nvSpPr>
            <xdr:cNvPr id="2200" name="VarPreSelect57" hidden="1">
              <a:extLst>
                <a:ext uri="{63B3BB69-23CF-44E3-9099-C40C66FF867C}">
                  <a14:compatExt spid="_x0000_s22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60</xdr:row>
          <xdr:rowOff>19050</xdr:rowOff>
        </xdr:from>
        <xdr:to>
          <xdr:col>3</xdr:col>
          <xdr:colOff>409575</xdr:colOff>
          <xdr:row>60</xdr:row>
          <xdr:rowOff>142875</xdr:rowOff>
        </xdr:to>
        <xdr:sp macro="" textlink="">
          <xdr:nvSpPr>
            <xdr:cNvPr id="2201" name="VarPreSelect58" hidden="1">
              <a:extLst>
                <a:ext uri="{63B3BB69-23CF-44E3-9099-C40C66FF867C}">
                  <a14:compatExt spid="_x0000_s22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61</xdr:row>
          <xdr:rowOff>19050</xdr:rowOff>
        </xdr:from>
        <xdr:to>
          <xdr:col>3</xdr:col>
          <xdr:colOff>409575</xdr:colOff>
          <xdr:row>61</xdr:row>
          <xdr:rowOff>142875</xdr:rowOff>
        </xdr:to>
        <xdr:sp macro="" textlink="">
          <xdr:nvSpPr>
            <xdr:cNvPr id="2202" name="VarPreSelect59" hidden="1">
              <a:extLst>
                <a:ext uri="{63B3BB69-23CF-44E3-9099-C40C66FF867C}">
                  <a14:compatExt spid="_x0000_s22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62</xdr:row>
          <xdr:rowOff>19050</xdr:rowOff>
        </xdr:from>
        <xdr:to>
          <xdr:col>3</xdr:col>
          <xdr:colOff>409575</xdr:colOff>
          <xdr:row>62</xdr:row>
          <xdr:rowOff>142875</xdr:rowOff>
        </xdr:to>
        <xdr:sp macro="" textlink="">
          <xdr:nvSpPr>
            <xdr:cNvPr id="2203" name="VarPreSelect60" hidden="1">
              <a:extLst>
                <a:ext uri="{63B3BB69-23CF-44E3-9099-C40C66FF867C}">
                  <a14:compatExt spid="_x0000_s22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63</xdr:row>
          <xdr:rowOff>19050</xdr:rowOff>
        </xdr:from>
        <xdr:to>
          <xdr:col>3</xdr:col>
          <xdr:colOff>409575</xdr:colOff>
          <xdr:row>63</xdr:row>
          <xdr:rowOff>142875</xdr:rowOff>
        </xdr:to>
        <xdr:sp macro="" textlink="">
          <xdr:nvSpPr>
            <xdr:cNvPr id="2204" name="VarPreSelect61" hidden="1">
              <a:extLst>
                <a:ext uri="{63B3BB69-23CF-44E3-9099-C40C66FF867C}">
                  <a14:compatExt spid="_x0000_s22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64</xdr:row>
          <xdr:rowOff>19050</xdr:rowOff>
        </xdr:from>
        <xdr:to>
          <xdr:col>3</xdr:col>
          <xdr:colOff>409575</xdr:colOff>
          <xdr:row>64</xdr:row>
          <xdr:rowOff>142875</xdr:rowOff>
        </xdr:to>
        <xdr:sp macro="" textlink="">
          <xdr:nvSpPr>
            <xdr:cNvPr id="2205" name="VarPreSelect62" hidden="1">
              <a:extLst>
                <a:ext uri="{63B3BB69-23CF-44E3-9099-C40C66FF867C}">
                  <a14:compatExt spid="_x0000_s22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65</xdr:row>
          <xdr:rowOff>19050</xdr:rowOff>
        </xdr:from>
        <xdr:to>
          <xdr:col>3</xdr:col>
          <xdr:colOff>409575</xdr:colOff>
          <xdr:row>65</xdr:row>
          <xdr:rowOff>142875</xdr:rowOff>
        </xdr:to>
        <xdr:sp macro="" textlink="">
          <xdr:nvSpPr>
            <xdr:cNvPr id="2206" name="VarPreSelect63" hidden="1">
              <a:extLst>
                <a:ext uri="{63B3BB69-23CF-44E3-9099-C40C66FF867C}">
                  <a14:compatExt spid="_x0000_s22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66</xdr:row>
          <xdr:rowOff>19050</xdr:rowOff>
        </xdr:from>
        <xdr:to>
          <xdr:col>3</xdr:col>
          <xdr:colOff>409575</xdr:colOff>
          <xdr:row>66</xdr:row>
          <xdr:rowOff>142875</xdr:rowOff>
        </xdr:to>
        <xdr:sp macro="" textlink="">
          <xdr:nvSpPr>
            <xdr:cNvPr id="2207" name="VarPreSelect64" hidden="1">
              <a:extLst>
                <a:ext uri="{63B3BB69-23CF-44E3-9099-C40C66FF867C}">
                  <a14:compatExt spid="_x0000_s22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67</xdr:row>
          <xdr:rowOff>19050</xdr:rowOff>
        </xdr:from>
        <xdr:to>
          <xdr:col>3</xdr:col>
          <xdr:colOff>409575</xdr:colOff>
          <xdr:row>67</xdr:row>
          <xdr:rowOff>142875</xdr:rowOff>
        </xdr:to>
        <xdr:sp macro="" textlink="">
          <xdr:nvSpPr>
            <xdr:cNvPr id="2208" name="VarPreSelect65" hidden="1">
              <a:extLst>
                <a:ext uri="{63B3BB69-23CF-44E3-9099-C40C66FF867C}">
                  <a14:compatExt spid="_x0000_s22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68</xdr:row>
          <xdr:rowOff>19050</xdr:rowOff>
        </xdr:from>
        <xdr:to>
          <xdr:col>3</xdr:col>
          <xdr:colOff>409575</xdr:colOff>
          <xdr:row>68</xdr:row>
          <xdr:rowOff>142875</xdr:rowOff>
        </xdr:to>
        <xdr:sp macro="" textlink="">
          <xdr:nvSpPr>
            <xdr:cNvPr id="2209" name="VarPreSelect66" hidden="1">
              <a:extLst>
                <a:ext uri="{63B3BB69-23CF-44E3-9099-C40C66FF867C}">
                  <a14:compatExt spid="_x0000_s22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69</xdr:row>
          <xdr:rowOff>19050</xdr:rowOff>
        </xdr:from>
        <xdr:to>
          <xdr:col>3</xdr:col>
          <xdr:colOff>409575</xdr:colOff>
          <xdr:row>69</xdr:row>
          <xdr:rowOff>142875</xdr:rowOff>
        </xdr:to>
        <xdr:sp macro="" textlink="">
          <xdr:nvSpPr>
            <xdr:cNvPr id="2210" name="VarPreSelect67" hidden="1">
              <a:extLst>
                <a:ext uri="{63B3BB69-23CF-44E3-9099-C40C66FF867C}">
                  <a14:compatExt spid="_x0000_s22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70</xdr:row>
          <xdr:rowOff>19050</xdr:rowOff>
        </xdr:from>
        <xdr:to>
          <xdr:col>3</xdr:col>
          <xdr:colOff>409575</xdr:colOff>
          <xdr:row>70</xdr:row>
          <xdr:rowOff>142875</xdr:rowOff>
        </xdr:to>
        <xdr:sp macro="" textlink="">
          <xdr:nvSpPr>
            <xdr:cNvPr id="2211" name="VarPreSelect68" hidden="1">
              <a:extLst>
                <a:ext uri="{63B3BB69-23CF-44E3-9099-C40C66FF867C}">
                  <a14:compatExt spid="_x0000_s22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71</xdr:row>
          <xdr:rowOff>19050</xdr:rowOff>
        </xdr:from>
        <xdr:to>
          <xdr:col>3</xdr:col>
          <xdr:colOff>409575</xdr:colOff>
          <xdr:row>71</xdr:row>
          <xdr:rowOff>142875</xdr:rowOff>
        </xdr:to>
        <xdr:sp macro="" textlink="">
          <xdr:nvSpPr>
            <xdr:cNvPr id="2212" name="VarPreSelect69" hidden="1">
              <a:extLst>
                <a:ext uri="{63B3BB69-23CF-44E3-9099-C40C66FF867C}">
                  <a14:compatExt spid="_x0000_s22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72</xdr:row>
          <xdr:rowOff>19050</xdr:rowOff>
        </xdr:from>
        <xdr:to>
          <xdr:col>3</xdr:col>
          <xdr:colOff>409575</xdr:colOff>
          <xdr:row>72</xdr:row>
          <xdr:rowOff>142875</xdr:rowOff>
        </xdr:to>
        <xdr:sp macro="" textlink="">
          <xdr:nvSpPr>
            <xdr:cNvPr id="2213" name="VarPreSelect70" hidden="1">
              <a:extLst>
                <a:ext uri="{63B3BB69-23CF-44E3-9099-C40C66FF867C}">
                  <a14:compatExt spid="_x0000_s22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73</xdr:row>
          <xdr:rowOff>19050</xdr:rowOff>
        </xdr:from>
        <xdr:to>
          <xdr:col>3</xdr:col>
          <xdr:colOff>409575</xdr:colOff>
          <xdr:row>73</xdr:row>
          <xdr:rowOff>142875</xdr:rowOff>
        </xdr:to>
        <xdr:sp macro="" textlink="">
          <xdr:nvSpPr>
            <xdr:cNvPr id="2214" name="VarPreSelect71" hidden="1">
              <a:extLst>
                <a:ext uri="{63B3BB69-23CF-44E3-9099-C40C66FF867C}">
                  <a14:compatExt spid="_x0000_s22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74</xdr:row>
          <xdr:rowOff>19050</xdr:rowOff>
        </xdr:from>
        <xdr:to>
          <xdr:col>3</xdr:col>
          <xdr:colOff>409575</xdr:colOff>
          <xdr:row>74</xdr:row>
          <xdr:rowOff>142875</xdr:rowOff>
        </xdr:to>
        <xdr:sp macro="" textlink="">
          <xdr:nvSpPr>
            <xdr:cNvPr id="2215" name="VarPreSelect72" hidden="1">
              <a:extLst>
                <a:ext uri="{63B3BB69-23CF-44E3-9099-C40C66FF867C}">
                  <a14:compatExt spid="_x0000_s22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75</xdr:row>
          <xdr:rowOff>19050</xdr:rowOff>
        </xdr:from>
        <xdr:to>
          <xdr:col>3</xdr:col>
          <xdr:colOff>409575</xdr:colOff>
          <xdr:row>75</xdr:row>
          <xdr:rowOff>142875</xdr:rowOff>
        </xdr:to>
        <xdr:sp macro="" textlink="">
          <xdr:nvSpPr>
            <xdr:cNvPr id="2216" name="VarPreSelect73" hidden="1">
              <a:extLst>
                <a:ext uri="{63B3BB69-23CF-44E3-9099-C40C66FF867C}">
                  <a14:compatExt spid="_x0000_s22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76</xdr:row>
          <xdr:rowOff>19050</xdr:rowOff>
        </xdr:from>
        <xdr:to>
          <xdr:col>3</xdr:col>
          <xdr:colOff>409575</xdr:colOff>
          <xdr:row>76</xdr:row>
          <xdr:rowOff>142875</xdr:rowOff>
        </xdr:to>
        <xdr:sp macro="" textlink="">
          <xdr:nvSpPr>
            <xdr:cNvPr id="2217" name="VarPreSelect74" hidden="1">
              <a:extLst>
                <a:ext uri="{63B3BB69-23CF-44E3-9099-C40C66FF867C}">
                  <a14:compatExt spid="_x0000_s22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77</xdr:row>
          <xdr:rowOff>19050</xdr:rowOff>
        </xdr:from>
        <xdr:to>
          <xdr:col>3</xdr:col>
          <xdr:colOff>409575</xdr:colOff>
          <xdr:row>77</xdr:row>
          <xdr:rowOff>142875</xdr:rowOff>
        </xdr:to>
        <xdr:sp macro="" textlink="">
          <xdr:nvSpPr>
            <xdr:cNvPr id="2218" name="VarPreSelect75" hidden="1">
              <a:extLst>
                <a:ext uri="{63B3BB69-23CF-44E3-9099-C40C66FF867C}">
                  <a14:compatExt spid="_x0000_s22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78</xdr:row>
          <xdr:rowOff>19050</xdr:rowOff>
        </xdr:from>
        <xdr:to>
          <xdr:col>3</xdr:col>
          <xdr:colOff>409575</xdr:colOff>
          <xdr:row>78</xdr:row>
          <xdr:rowOff>142875</xdr:rowOff>
        </xdr:to>
        <xdr:sp macro="" textlink="">
          <xdr:nvSpPr>
            <xdr:cNvPr id="2219" name="VarPreSelect76" hidden="1">
              <a:extLst>
                <a:ext uri="{63B3BB69-23CF-44E3-9099-C40C66FF867C}">
                  <a14:compatExt spid="_x0000_s22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79</xdr:row>
          <xdr:rowOff>19050</xdr:rowOff>
        </xdr:from>
        <xdr:to>
          <xdr:col>3</xdr:col>
          <xdr:colOff>409575</xdr:colOff>
          <xdr:row>79</xdr:row>
          <xdr:rowOff>142875</xdr:rowOff>
        </xdr:to>
        <xdr:sp macro="" textlink="">
          <xdr:nvSpPr>
            <xdr:cNvPr id="2220" name="VarPreSelect77" hidden="1">
              <a:extLst>
                <a:ext uri="{63B3BB69-23CF-44E3-9099-C40C66FF867C}">
                  <a14:compatExt spid="_x0000_s22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80</xdr:row>
          <xdr:rowOff>19050</xdr:rowOff>
        </xdr:from>
        <xdr:to>
          <xdr:col>3</xdr:col>
          <xdr:colOff>409575</xdr:colOff>
          <xdr:row>80</xdr:row>
          <xdr:rowOff>142875</xdr:rowOff>
        </xdr:to>
        <xdr:sp macro="" textlink="">
          <xdr:nvSpPr>
            <xdr:cNvPr id="2221" name="VarPreSelect78" hidden="1">
              <a:extLst>
                <a:ext uri="{63B3BB69-23CF-44E3-9099-C40C66FF867C}">
                  <a14:compatExt spid="_x0000_s22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81</xdr:row>
          <xdr:rowOff>19050</xdr:rowOff>
        </xdr:from>
        <xdr:to>
          <xdr:col>3</xdr:col>
          <xdr:colOff>409575</xdr:colOff>
          <xdr:row>81</xdr:row>
          <xdr:rowOff>142875</xdr:rowOff>
        </xdr:to>
        <xdr:sp macro="" textlink="">
          <xdr:nvSpPr>
            <xdr:cNvPr id="2222" name="VarPreSelect79" hidden="1">
              <a:extLst>
                <a:ext uri="{63B3BB69-23CF-44E3-9099-C40C66FF867C}">
                  <a14:compatExt spid="_x0000_s22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82</xdr:row>
          <xdr:rowOff>19050</xdr:rowOff>
        </xdr:from>
        <xdr:to>
          <xdr:col>3</xdr:col>
          <xdr:colOff>409575</xdr:colOff>
          <xdr:row>82</xdr:row>
          <xdr:rowOff>142875</xdr:rowOff>
        </xdr:to>
        <xdr:sp macro="" textlink="">
          <xdr:nvSpPr>
            <xdr:cNvPr id="2223" name="VarPreSelect80" hidden="1">
              <a:extLst>
                <a:ext uri="{63B3BB69-23CF-44E3-9099-C40C66FF867C}">
                  <a14:compatExt spid="_x0000_s22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83</xdr:row>
          <xdr:rowOff>19050</xdr:rowOff>
        </xdr:from>
        <xdr:to>
          <xdr:col>3</xdr:col>
          <xdr:colOff>409575</xdr:colOff>
          <xdr:row>83</xdr:row>
          <xdr:rowOff>142875</xdr:rowOff>
        </xdr:to>
        <xdr:sp macro="" textlink="">
          <xdr:nvSpPr>
            <xdr:cNvPr id="2224" name="VarPreSelect81" hidden="1">
              <a:extLst>
                <a:ext uri="{63B3BB69-23CF-44E3-9099-C40C66FF867C}">
                  <a14:compatExt spid="_x0000_s22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84</xdr:row>
          <xdr:rowOff>19050</xdr:rowOff>
        </xdr:from>
        <xdr:to>
          <xdr:col>3</xdr:col>
          <xdr:colOff>409575</xdr:colOff>
          <xdr:row>84</xdr:row>
          <xdr:rowOff>142875</xdr:rowOff>
        </xdr:to>
        <xdr:sp macro="" textlink="">
          <xdr:nvSpPr>
            <xdr:cNvPr id="2225" name="VarPreSelect82" hidden="1">
              <a:extLst>
                <a:ext uri="{63B3BB69-23CF-44E3-9099-C40C66FF867C}">
                  <a14:compatExt spid="_x0000_s22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85</xdr:row>
          <xdr:rowOff>19050</xdr:rowOff>
        </xdr:from>
        <xdr:to>
          <xdr:col>3</xdr:col>
          <xdr:colOff>409575</xdr:colOff>
          <xdr:row>85</xdr:row>
          <xdr:rowOff>142875</xdr:rowOff>
        </xdr:to>
        <xdr:sp macro="" textlink="">
          <xdr:nvSpPr>
            <xdr:cNvPr id="2226" name="VarPreSelect83" hidden="1">
              <a:extLst>
                <a:ext uri="{63B3BB69-23CF-44E3-9099-C40C66FF867C}">
                  <a14:compatExt spid="_x0000_s22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86</xdr:row>
          <xdr:rowOff>19050</xdr:rowOff>
        </xdr:from>
        <xdr:to>
          <xdr:col>3</xdr:col>
          <xdr:colOff>409575</xdr:colOff>
          <xdr:row>86</xdr:row>
          <xdr:rowOff>142875</xdr:rowOff>
        </xdr:to>
        <xdr:sp macro="" textlink="">
          <xdr:nvSpPr>
            <xdr:cNvPr id="2227" name="VarPreSelect84" hidden="1">
              <a:extLst>
                <a:ext uri="{63B3BB69-23CF-44E3-9099-C40C66FF867C}">
                  <a14:compatExt spid="_x0000_s22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87</xdr:row>
          <xdr:rowOff>19050</xdr:rowOff>
        </xdr:from>
        <xdr:to>
          <xdr:col>3</xdr:col>
          <xdr:colOff>409575</xdr:colOff>
          <xdr:row>87</xdr:row>
          <xdr:rowOff>142875</xdr:rowOff>
        </xdr:to>
        <xdr:sp macro="" textlink="">
          <xdr:nvSpPr>
            <xdr:cNvPr id="2228" name="VarPreSelect85" hidden="1">
              <a:extLst>
                <a:ext uri="{63B3BB69-23CF-44E3-9099-C40C66FF867C}">
                  <a14:compatExt spid="_x0000_s22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88</xdr:row>
          <xdr:rowOff>19050</xdr:rowOff>
        </xdr:from>
        <xdr:to>
          <xdr:col>3</xdr:col>
          <xdr:colOff>409575</xdr:colOff>
          <xdr:row>88</xdr:row>
          <xdr:rowOff>142875</xdr:rowOff>
        </xdr:to>
        <xdr:sp macro="" textlink="">
          <xdr:nvSpPr>
            <xdr:cNvPr id="2229" name="VarPreSelect86" hidden="1">
              <a:extLst>
                <a:ext uri="{63B3BB69-23CF-44E3-9099-C40C66FF867C}">
                  <a14:compatExt spid="_x0000_s22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89</xdr:row>
          <xdr:rowOff>19050</xdr:rowOff>
        </xdr:from>
        <xdr:to>
          <xdr:col>3</xdr:col>
          <xdr:colOff>409575</xdr:colOff>
          <xdr:row>89</xdr:row>
          <xdr:rowOff>142875</xdr:rowOff>
        </xdr:to>
        <xdr:sp macro="" textlink="">
          <xdr:nvSpPr>
            <xdr:cNvPr id="2230" name="VarPreSelect87" hidden="1">
              <a:extLst>
                <a:ext uri="{63B3BB69-23CF-44E3-9099-C40C66FF867C}">
                  <a14:compatExt spid="_x0000_s22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90</xdr:row>
          <xdr:rowOff>19050</xdr:rowOff>
        </xdr:from>
        <xdr:to>
          <xdr:col>3</xdr:col>
          <xdr:colOff>409575</xdr:colOff>
          <xdr:row>90</xdr:row>
          <xdr:rowOff>142875</xdr:rowOff>
        </xdr:to>
        <xdr:sp macro="" textlink="">
          <xdr:nvSpPr>
            <xdr:cNvPr id="2231" name="VarPreSelect88" hidden="1">
              <a:extLst>
                <a:ext uri="{63B3BB69-23CF-44E3-9099-C40C66FF867C}">
                  <a14:compatExt spid="_x0000_s22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91</xdr:row>
          <xdr:rowOff>19050</xdr:rowOff>
        </xdr:from>
        <xdr:to>
          <xdr:col>3</xdr:col>
          <xdr:colOff>409575</xdr:colOff>
          <xdr:row>91</xdr:row>
          <xdr:rowOff>142875</xdr:rowOff>
        </xdr:to>
        <xdr:sp macro="" textlink="">
          <xdr:nvSpPr>
            <xdr:cNvPr id="2232" name="VarPreSelect89" hidden="1">
              <a:extLst>
                <a:ext uri="{63B3BB69-23CF-44E3-9099-C40C66FF867C}">
                  <a14:compatExt spid="_x0000_s22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247650</xdr:colOff>
          <xdr:row>96</xdr:row>
          <xdr:rowOff>19050</xdr:rowOff>
        </xdr:from>
        <xdr:to>
          <xdr:col>4</xdr:col>
          <xdr:colOff>409575</xdr:colOff>
          <xdr:row>96</xdr:row>
          <xdr:rowOff>142875</xdr:rowOff>
        </xdr:to>
        <xdr:sp macro="" textlink="">
          <xdr:nvSpPr>
            <xdr:cNvPr id="2233" name="MatchCORREL1" hidden="1">
              <a:extLst>
                <a:ext uri="{63B3BB69-23CF-44E3-9099-C40C66FF867C}">
                  <a14:compatExt spid="_x0000_s22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247650</xdr:colOff>
          <xdr:row>96</xdr:row>
          <xdr:rowOff>19050</xdr:rowOff>
        </xdr:from>
        <xdr:to>
          <xdr:col>5</xdr:col>
          <xdr:colOff>409575</xdr:colOff>
          <xdr:row>96</xdr:row>
          <xdr:rowOff>142875</xdr:rowOff>
        </xdr:to>
        <xdr:sp macro="" textlink="">
          <xdr:nvSpPr>
            <xdr:cNvPr id="2234" name="MatchCORREL2" hidden="1">
              <a:extLst>
                <a:ext uri="{63B3BB69-23CF-44E3-9099-C40C66FF867C}">
                  <a14:compatExt spid="_x0000_s22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96</xdr:row>
          <xdr:rowOff>19050</xdr:rowOff>
        </xdr:from>
        <xdr:to>
          <xdr:col>6</xdr:col>
          <xdr:colOff>409575</xdr:colOff>
          <xdr:row>96</xdr:row>
          <xdr:rowOff>142875</xdr:rowOff>
        </xdr:to>
        <xdr:sp macro="" textlink="">
          <xdr:nvSpPr>
            <xdr:cNvPr id="2235" name="MatchCORREL3" hidden="1">
              <a:extLst>
                <a:ext uri="{63B3BB69-23CF-44E3-9099-C40C66FF867C}">
                  <a14:compatExt spid="_x0000_s22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247650</xdr:colOff>
          <xdr:row>96</xdr:row>
          <xdr:rowOff>19050</xdr:rowOff>
        </xdr:from>
        <xdr:to>
          <xdr:col>7</xdr:col>
          <xdr:colOff>409575</xdr:colOff>
          <xdr:row>96</xdr:row>
          <xdr:rowOff>142875</xdr:rowOff>
        </xdr:to>
        <xdr:sp macro="" textlink="">
          <xdr:nvSpPr>
            <xdr:cNvPr id="2236" name="MatchCORREL4" hidden="1">
              <a:extLst>
                <a:ext uri="{63B3BB69-23CF-44E3-9099-C40C66FF867C}">
                  <a14:compatExt spid="_x0000_s22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247650</xdr:colOff>
          <xdr:row>96</xdr:row>
          <xdr:rowOff>19050</xdr:rowOff>
        </xdr:from>
        <xdr:to>
          <xdr:col>8</xdr:col>
          <xdr:colOff>409575</xdr:colOff>
          <xdr:row>96</xdr:row>
          <xdr:rowOff>142875</xdr:rowOff>
        </xdr:to>
        <xdr:sp macro="" textlink="">
          <xdr:nvSpPr>
            <xdr:cNvPr id="2237" name="MatchCORREL5" hidden="1">
              <a:extLst>
                <a:ext uri="{63B3BB69-23CF-44E3-9099-C40C66FF867C}">
                  <a14:compatExt spid="_x0000_s22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247650</xdr:colOff>
          <xdr:row>96</xdr:row>
          <xdr:rowOff>19050</xdr:rowOff>
        </xdr:from>
        <xdr:to>
          <xdr:col>9</xdr:col>
          <xdr:colOff>409575</xdr:colOff>
          <xdr:row>96</xdr:row>
          <xdr:rowOff>142875</xdr:rowOff>
        </xdr:to>
        <xdr:sp macro="" textlink="">
          <xdr:nvSpPr>
            <xdr:cNvPr id="2238" name="MatchCORREL6" hidden="1">
              <a:extLst>
                <a:ext uri="{63B3BB69-23CF-44E3-9099-C40C66FF867C}">
                  <a14:compatExt spid="_x0000_s22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247650</xdr:colOff>
          <xdr:row>96</xdr:row>
          <xdr:rowOff>19050</xdr:rowOff>
        </xdr:from>
        <xdr:to>
          <xdr:col>10</xdr:col>
          <xdr:colOff>409575</xdr:colOff>
          <xdr:row>96</xdr:row>
          <xdr:rowOff>142875</xdr:rowOff>
        </xdr:to>
        <xdr:sp macro="" textlink="">
          <xdr:nvSpPr>
            <xdr:cNvPr id="2239" name="MatchCORREL7" hidden="1">
              <a:extLst>
                <a:ext uri="{63B3BB69-23CF-44E3-9099-C40C66FF867C}">
                  <a14:compatExt spid="_x0000_s22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247650</xdr:colOff>
          <xdr:row>96</xdr:row>
          <xdr:rowOff>19050</xdr:rowOff>
        </xdr:from>
        <xdr:to>
          <xdr:col>11</xdr:col>
          <xdr:colOff>409575</xdr:colOff>
          <xdr:row>96</xdr:row>
          <xdr:rowOff>142875</xdr:rowOff>
        </xdr:to>
        <xdr:sp macro="" textlink="">
          <xdr:nvSpPr>
            <xdr:cNvPr id="2240" name="MatchCORREL8" hidden="1">
              <a:extLst>
                <a:ext uri="{63B3BB69-23CF-44E3-9099-C40C66FF867C}">
                  <a14:compatExt spid="_x0000_s22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247650</xdr:colOff>
          <xdr:row>96</xdr:row>
          <xdr:rowOff>19050</xdr:rowOff>
        </xdr:from>
        <xdr:to>
          <xdr:col>12</xdr:col>
          <xdr:colOff>409575</xdr:colOff>
          <xdr:row>96</xdr:row>
          <xdr:rowOff>142875</xdr:rowOff>
        </xdr:to>
        <xdr:sp macro="" textlink="">
          <xdr:nvSpPr>
            <xdr:cNvPr id="2241" name="MatchCORREL9" hidden="1">
              <a:extLst>
                <a:ext uri="{63B3BB69-23CF-44E3-9099-C40C66FF867C}">
                  <a14:compatExt spid="_x0000_s22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247650</xdr:colOff>
          <xdr:row>96</xdr:row>
          <xdr:rowOff>19050</xdr:rowOff>
        </xdr:from>
        <xdr:to>
          <xdr:col>13</xdr:col>
          <xdr:colOff>409575</xdr:colOff>
          <xdr:row>96</xdr:row>
          <xdr:rowOff>142875</xdr:rowOff>
        </xdr:to>
        <xdr:sp macro="" textlink="">
          <xdr:nvSpPr>
            <xdr:cNvPr id="2242" name="MatchCORREL10" hidden="1">
              <a:extLst>
                <a:ext uri="{63B3BB69-23CF-44E3-9099-C40C66FF867C}">
                  <a14:compatExt spid="_x0000_s22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247650</xdr:colOff>
          <xdr:row>96</xdr:row>
          <xdr:rowOff>19050</xdr:rowOff>
        </xdr:from>
        <xdr:to>
          <xdr:col>14</xdr:col>
          <xdr:colOff>409575</xdr:colOff>
          <xdr:row>96</xdr:row>
          <xdr:rowOff>142875</xdr:rowOff>
        </xdr:to>
        <xdr:sp macro="" textlink="">
          <xdr:nvSpPr>
            <xdr:cNvPr id="2243" name="MatchCORREL11" hidden="1">
              <a:extLst>
                <a:ext uri="{63B3BB69-23CF-44E3-9099-C40C66FF867C}">
                  <a14:compatExt spid="_x0000_s22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247650</xdr:colOff>
          <xdr:row>96</xdr:row>
          <xdr:rowOff>19050</xdr:rowOff>
        </xdr:from>
        <xdr:to>
          <xdr:col>15</xdr:col>
          <xdr:colOff>409575</xdr:colOff>
          <xdr:row>96</xdr:row>
          <xdr:rowOff>142875</xdr:rowOff>
        </xdr:to>
        <xdr:sp macro="" textlink="">
          <xdr:nvSpPr>
            <xdr:cNvPr id="2244" name="MatchCORREL12" hidden="1">
              <a:extLst>
                <a:ext uri="{63B3BB69-23CF-44E3-9099-C40C66FF867C}">
                  <a14:compatExt spid="_x0000_s22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247650</xdr:colOff>
          <xdr:row>96</xdr:row>
          <xdr:rowOff>19050</xdr:rowOff>
        </xdr:from>
        <xdr:to>
          <xdr:col>16</xdr:col>
          <xdr:colOff>409575</xdr:colOff>
          <xdr:row>96</xdr:row>
          <xdr:rowOff>142875</xdr:rowOff>
        </xdr:to>
        <xdr:sp macro="" textlink="">
          <xdr:nvSpPr>
            <xdr:cNvPr id="2245" name="MatchCORREL13" hidden="1">
              <a:extLst>
                <a:ext uri="{63B3BB69-23CF-44E3-9099-C40C66FF867C}">
                  <a14:compatExt spid="_x0000_s22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247650</xdr:colOff>
          <xdr:row>96</xdr:row>
          <xdr:rowOff>19050</xdr:rowOff>
        </xdr:from>
        <xdr:to>
          <xdr:col>17</xdr:col>
          <xdr:colOff>409575</xdr:colOff>
          <xdr:row>96</xdr:row>
          <xdr:rowOff>142875</xdr:rowOff>
        </xdr:to>
        <xdr:sp macro="" textlink="">
          <xdr:nvSpPr>
            <xdr:cNvPr id="2246" name="MatchCORREL14" hidden="1">
              <a:extLst>
                <a:ext uri="{63B3BB69-23CF-44E3-9099-C40C66FF867C}">
                  <a14:compatExt spid="_x0000_s2246"/>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247650</xdr:colOff>
          <xdr:row>3</xdr:row>
          <xdr:rowOff>19050</xdr:rowOff>
        </xdr:from>
        <xdr:to>
          <xdr:col>2</xdr:col>
          <xdr:colOff>409575</xdr:colOff>
          <xdr:row>3</xdr:row>
          <xdr:rowOff>142875</xdr:rowOff>
        </xdr:to>
        <xdr:sp macro="" textlink="">
          <xdr:nvSpPr>
            <xdr:cNvPr id="3079" name="VarErr1" hidden="1">
              <a:extLst>
                <a:ext uri="{63B3BB69-23CF-44E3-9099-C40C66FF867C}">
                  <a14:compatExt spid="_x0000_s30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xdr:row>
          <xdr:rowOff>19050</xdr:rowOff>
        </xdr:from>
        <xdr:to>
          <xdr:col>2</xdr:col>
          <xdr:colOff>409575</xdr:colOff>
          <xdr:row>4</xdr:row>
          <xdr:rowOff>142875</xdr:rowOff>
        </xdr:to>
        <xdr:sp macro="" textlink="">
          <xdr:nvSpPr>
            <xdr:cNvPr id="3080" name="VarErr2" hidden="1">
              <a:extLst>
                <a:ext uri="{63B3BB69-23CF-44E3-9099-C40C66FF867C}">
                  <a14:compatExt spid="_x0000_s30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xdr:row>
          <xdr:rowOff>19050</xdr:rowOff>
        </xdr:from>
        <xdr:to>
          <xdr:col>2</xdr:col>
          <xdr:colOff>409575</xdr:colOff>
          <xdr:row>5</xdr:row>
          <xdr:rowOff>142875</xdr:rowOff>
        </xdr:to>
        <xdr:sp macro="" textlink="">
          <xdr:nvSpPr>
            <xdr:cNvPr id="3081" name="VarErr3" hidden="1">
              <a:extLst>
                <a:ext uri="{63B3BB69-23CF-44E3-9099-C40C66FF867C}">
                  <a14:compatExt spid="_x0000_s30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xdr:row>
          <xdr:rowOff>19050</xdr:rowOff>
        </xdr:from>
        <xdr:to>
          <xdr:col>2</xdr:col>
          <xdr:colOff>409575</xdr:colOff>
          <xdr:row>6</xdr:row>
          <xdr:rowOff>142875</xdr:rowOff>
        </xdr:to>
        <xdr:sp macro="" textlink="">
          <xdr:nvSpPr>
            <xdr:cNvPr id="3082" name="VarErr4" hidden="1">
              <a:extLst>
                <a:ext uri="{63B3BB69-23CF-44E3-9099-C40C66FF867C}">
                  <a14:compatExt spid="_x0000_s30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xdr:row>
          <xdr:rowOff>19050</xdr:rowOff>
        </xdr:from>
        <xdr:to>
          <xdr:col>2</xdr:col>
          <xdr:colOff>409575</xdr:colOff>
          <xdr:row>7</xdr:row>
          <xdr:rowOff>142875</xdr:rowOff>
        </xdr:to>
        <xdr:sp macro="" textlink="">
          <xdr:nvSpPr>
            <xdr:cNvPr id="3083" name="VarErr5" hidden="1">
              <a:extLst>
                <a:ext uri="{63B3BB69-23CF-44E3-9099-C40C66FF867C}">
                  <a14:compatExt spid="_x0000_s30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xdr:row>
          <xdr:rowOff>19050</xdr:rowOff>
        </xdr:from>
        <xdr:to>
          <xdr:col>2</xdr:col>
          <xdr:colOff>409575</xdr:colOff>
          <xdr:row>8</xdr:row>
          <xdr:rowOff>142875</xdr:rowOff>
        </xdr:to>
        <xdr:sp macro="" textlink="">
          <xdr:nvSpPr>
            <xdr:cNvPr id="3084" name="VarErr6" hidden="1">
              <a:extLst>
                <a:ext uri="{63B3BB69-23CF-44E3-9099-C40C66FF867C}">
                  <a14:compatExt spid="_x0000_s30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xdr:row>
          <xdr:rowOff>19050</xdr:rowOff>
        </xdr:from>
        <xdr:to>
          <xdr:col>2</xdr:col>
          <xdr:colOff>409575</xdr:colOff>
          <xdr:row>9</xdr:row>
          <xdr:rowOff>142875</xdr:rowOff>
        </xdr:to>
        <xdr:sp macro="" textlink="">
          <xdr:nvSpPr>
            <xdr:cNvPr id="3085" name="VarErr7" hidden="1">
              <a:extLst>
                <a:ext uri="{63B3BB69-23CF-44E3-9099-C40C66FF867C}">
                  <a14:compatExt spid="_x0000_s30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10</xdr:row>
          <xdr:rowOff>19050</xdr:rowOff>
        </xdr:from>
        <xdr:to>
          <xdr:col>2</xdr:col>
          <xdr:colOff>409575</xdr:colOff>
          <xdr:row>10</xdr:row>
          <xdr:rowOff>142875</xdr:rowOff>
        </xdr:to>
        <xdr:sp macro="" textlink="">
          <xdr:nvSpPr>
            <xdr:cNvPr id="3086" name="VarErr8" hidden="1">
              <a:extLst>
                <a:ext uri="{63B3BB69-23CF-44E3-9099-C40C66FF867C}">
                  <a14:compatExt spid="_x0000_s30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11</xdr:row>
          <xdr:rowOff>19050</xdr:rowOff>
        </xdr:from>
        <xdr:to>
          <xdr:col>2</xdr:col>
          <xdr:colOff>409575</xdr:colOff>
          <xdr:row>11</xdr:row>
          <xdr:rowOff>142875</xdr:rowOff>
        </xdr:to>
        <xdr:sp macro="" textlink="">
          <xdr:nvSpPr>
            <xdr:cNvPr id="3087" name="VarErr9" hidden="1">
              <a:extLst>
                <a:ext uri="{63B3BB69-23CF-44E3-9099-C40C66FF867C}">
                  <a14:compatExt spid="_x0000_s30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12</xdr:row>
          <xdr:rowOff>19050</xdr:rowOff>
        </xdr:from>
        <xdr:to>
          <xdr:col>2</xdr:col>
          <xdr:colOff>409575</xdr:colOff>
          <xdr:row>12</xdr:row>
          <xdr:rowOff>142875</xdr:rowOff>
        </xdr:to>
        <xdr:sp macro="" textlink="">
          <xdr:nvSpPr>
            <xdr:cNvPr id="3088" name="VarErr10" hidden="1">
              <a:extLst>
                <a:ext uri="{63B3BB69-23CF-44E3-9099-C40C66FF867C}">
                  <a14:compatExt spid="_x0000_s30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13</xdr:row>
          <xdr:rowOff>19050</xdr:rowOff>
        </xdr:from>
        <xdr:to>
          <xdr:col>2</xdr:col>
          <xdr:colOff>409575</xdr:colOff>
          <xdr:row>13</xdr:row>
          <xdr:rowOff>142875</xdr:rowOff>
        </xdr:to>
        <xdr:sp macro="" textlink="">
          <xdr:nvSpPr>
            <xdr:cNvPr id="3089" name="VarErr11" hidden="1">
              <a:extLst>
                <a:ext uri="{63B3BB69-23CF-44E3-9099-C40C66FF867C}">
                  <a14:compatExt spid="_x0000_s30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14</xdr:row>
          <xdr:rowOff>19050</xdr:rowOff>
        </xdr:from>
        <xdr:to>
          <xdr:col>2</xdr:col>
          <xdr:colOff>409575</xdr:colOff>
          <xdr:row>14</xdr:row>
          <xdr:rowOff>142875</xdr:rowOff>
        </xdr:to>
        <xdr:sp macro="" textlink="">
          <xdr:nvSpPr>
            <xdr:cNvPr id="3090" name="VarErr12" hidden="1">
              <a:extLst>
                <a:ext uri="{63B3BB69-23CF-44E3-9099-C40C66FF867C}">
                  <a14:compatExt spid="_x0000_s30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15</xdr:row>
          <xdr:rowOff>19050</xdr:rowOff>
        </xdr:from>
        <xdr:to>
          <xdr:col>2</xdr:col>
          <xdr:colOff>409575</xdr:colOff>
          <xdr:row>15</xdr:row>
          <xdr:rowOff>142875</xdr:rowOff>
        </xdr:to>
        <xdr:sp macro="" textlink="">
          <xdr:nvSpPr>
            <xdr:cNvPr id="3091" name="VarErr13" hidden="1">
              <a:extLst>
                <a:ext uri="{63B3BB69-23CF-44E3-9099-C40C66FF867C}">
                  <a14:compatExt spid="_x0000_s30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16</xdr:row>
          <xdr:rowOff>19050</xdr:rowOff>
        </xdr:from>
        <xdr:to>
          <xdr:col>2</xdr:col>
          <xdr:colOff>409575</xdr:colOff>
          <xdr:row>16</xdr:row>
          <xdr:rowOff>142875</xdr:rowOff>
        </xdr:to>
        <xdr:sp macro="" textlink="">
          <xdr:nvSpPr>
            <xdr:cNvPr id="3092" name="VarErr14" hidden="1">
              <a:extLst>
                <a:ext uri="{63B3BB69-23CF-44E3-9099-C40C66FF867C}">
                  <a14:compatExt spid="_x0000_s30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17</xdr:row>
          <xdr:rowOff>19050</xdr:rowOff>
        </xdr:from>
        <xdr:to>
          <xdr:col>2</xdr:col>
          <xdr:colOff>409575</xdr:colOff>
          <xdr:row>17</xdr:row>
          <xdr:rowOff>142875</xdr:rowOff>
        </xdr:to>
        <xdr:sp macro="" textlink="">
          <xdr:nvSpPr>
            <xdr:cNvPr id="3093" name="VarErr15" hidden="1">
              <a:extLst>
                <a:ext uri="{63B3BB69-23CF-44E3-9099-C40C66FF867C}">
                  <a14:compatExt spid="_x0000_s30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18</xdr:row>
          <xdr:rowOff>19050</xdr:rowOff>
        </xdr:from>
        <xdr:to>
          <xdr:col>2</xdr:col>
          <xdr:colOff>409575</xdr:colOff>
          <xdr:row>18</xdr:row>
          <xdr:rowOff>142875</xdr:rowOff>
        </xdr:to>
        <xdr:sp macro="" textlink="">
          <xdr:nvSpPr>
            <xdr:cNvPr id="3094" name="VarErr16" hidden="1">
              <a:extLst>
                <a:ext uri="{63B3BB69-23CF-44E3-9099-C40C66FF867C}">
                  <a14:compatExt spid="_x0000_s30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19</xdr:row>
          <xdr:rowOff>19050</xdr:rowOff>
        </xdr:from>
        <xdr:to>
          <xdr:col>2</xdr:col>
          <xdr:colOff>409575</xdr:colOff>
          <xdr:row>19</xdr:row>
          <xdr:rowOff>142875</xdr:rowOff>
        </xdr:to>
        <xdr:sp macro="" textlink="">
          <xdr:nvSpPr>
            <xdr:cNvPr id="3095" name="VarErr17" hidden="1">
              <a:extLst>
                <a:ext uri="{63B3BB69-23CF-44E3-9099-C40C66FF867C}">
                  <a14:compatExt spid="_x0000_s30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20</xdr:row>
          <xdr:rowOff>19050</xdr:rowOff>
        </xdr:from>
        <xdr:to>
          <xdr:col>2</xdr:col>
          <xdr:colOff>409575</xdr:colOff>
          <xdr:row>20</xdr:row>
          <xdr:rowOff>142875</xdr:rowOff>
        </xdr:to>
        <xdr:sp macro="" textlink="">
          <xdr:nvSpPr>
            <xdr:cNvPr id="3096" name="VarErr18" hidden="1">
              <a:extLst>
                <a:ext uri="{63B3BB69-23CF-44E3-9099-C40C66FF867C}">
                  <a14:compatExt spid="_x0000_s30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21</xdr:row>
          <xdr:rowOff>19050</xdr:rowOff>
        </xdr:from>
        <xdr:to>
          <xdr:col>2</xdr:col>
          <xdr:colOff>409575</xdr:colOff>
          <xdr:row>21</xdr:row>
          <xdr:rowOff>142875</xdr:rowOff>
        </xdr:to>
        <xdr:sp macro="" textlink="">
          <xdr:nvSpPr>
            <xdr:cNvPr id="3097" name="VarErr19" hidden="1">
              <a:extLst>
                <a:ext uri="{63B3BB69-23CF-44E3-9099-C40C66FF867C}">
                  <a14:compatExt spid="_x0000_s30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22</xdr:row>
          <xdr:rowOff>19050</xdr:rowOff>
        </xdr:from>
        <xdr:to>
          <xdr:col>2</xdr:col>
          <xdr:colOff>409575</xdr:colOff>
          <xdr:row>22</xdr:row>
          <xdr:rowOff>142875</xdr:rowOff>
        </xdr:to>
        <xdr:sp macro="" textlink="">
          <xdr:nvSpPr>
            <xdr:cNvPr id="3098" name="VarErr20" hidden="1">
              <a:extLst>
                <a:ext uri="{63B3BB69-23CF-44E3-9099-C40C66FF867C}">
                  <a14:compatExt spid="_x0000_s30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23</xdr:row>
          <xdr:rowOff>19050</xdr:rowOff>
        </xdr:from>
        <xdr:to>
          <xdr:col>2</xdr:col>
          <xdr:colOff>409575</xdr:colOff>
          <xdr:row>23</xdr:row>
          <xdr:rowOff>142875</xdr:rowOff>
        </xdr:to>
        <xdr:sp macro="" textlink="">
          <xdr:nvSpPr>
            <xdr:cNvPr id="3099" name="VarErr21" hidden="1">
              <a:extLst>
                <a:ext uri="{63B3BB69-23CF-44E3-9099-C40C66FF867C}">
                  <a14:compatExt spid="_x0000_s30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24</xdr:row>
          <xdr:rowOff>19050</xdr:rowOff>
        </xdr:from>
        <xdr:to>
          <xdr:col>2</xdr:col>
          <xdr:colOff>409575</xdr:colOff>
          <xdr:row>24</xdr:row>
          <xdr:rowOff>142875</xdr:rowOff>
        </xdr:to>
        <xdr:sp macro="" textlink="">
          <xdr:nvSpPr>
            <xdr:cNvPr id="3100" name="VarErr22" hidden="1">
              <a:extLst>
                <a:ext uri="{63B3BB69-23CF-44E3-9099-C40C66FF867C}">
                  <a14:compatExt spid="_x0000_s31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25</xdr:row>
          <xdr:rowOff>19050</xdr:rowOff>
        </xdr:from>
        <xdr:to>
          <xdr:col>2</xdr:col>
          <xdr:colOff>409575</xdr:colOff>
          <xdr:row>25</xdr:row>
          <xdr:rowOff>142875</xdr:rowOff>
        </xdr:to>
        <xdr:sp macro="" textlink="">
          <xdr:nvSpPr>
            <xdr:cNvPr id="3101" name="VarErr23" hidden="1">
              <a:extLst>
                <a:ext uri="{63B3BB69-23CF-44E3-9099-C40C66FF867C}">
                  <a14:compatExt spid="_x0000_s31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26</xdr:row>
          <xdr:rowOff>19050</xdr:rowOff>
        </xdr:from>
        <xdr:to>
          <xdr:col>2</xdr:col>
          <xdr:colOff>409575</xdr:colOff>
          <xdr:row>26</xdr:row>
          <xdr:rowOff>142875</xdr:rowOff>
        </xdr:to>
        <xdr:sp macro="" textlink="">
          <xdr:nvSpPr>
            <xdr:cNvPr id="3102" name="VarErr24" hidden="1">
              <a:extLst>
                <a:ext uri="{63B3BB69-23CF-44E3-9099-C40C66FF867C}">
                  <a14:compatExt spid="_x0000_s31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27</xdr:row>
          <xdr:rowOff>19050</xdr:rowOff>
        </xdr:from>
        <xdr:to>
          <xdr:col>2</xdr:col>
          <xdr:colOff>409575</xdr:colOff>
          <xdr:row>27</xdr:row>
          <xdr:rowOff>142875</xdr:rowOff>
        </xdr:to>
        <xdr:sp macro="" textlink="">
          <xdr:nvSpPr>
            <xdr:cNvPr id="3103" name="VarErr25" hidden="1">
              <a:extLst>
                <a:ext uri="{63B3BB69-23CF-44E3-9099-C40C66FF867C}">
                  <a14:compatExt spid="_x0000_s31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28</xdr:row>
          <xdr:rowOff>19050</xdr:rowOff>
        </xdr:from>
        <xdr:to>
          <xdr:col>2</xdr:col>
          <xdr:colOff>409575</xdr:colOff>
          <xdr:row>28</xdr:row>
          <xdr:rowOff>142875</xdr:rowOff>
        </xdr:to>
        <xdr:sp macro="" textlink="">
          <xdr:nvSpPr>
            <xdr:cNvPr id="3104" name="VarErr26" hidden="1">
              <a:extLst>
                <a:ext uri="{63B3BB69-23CF-44E3-9099-C40C66FF867C}">
                  <a14:compatExt spid="_x0000_s31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29</xdr:row>
          <xdr:rowOff>19050</xdr:rowOff>
        </xdr:from>
        <xdr:to>
          <xdr:col>2</xdr:col>
          <xdr:colOff>409575</xdr:colOff>
          <xdr:row>29</xdr:row>
          <xdr:rowOff>142875</xdr:rowOff>
        </xdr:to>
        <xdr:sp macro="" textlink="">
          <xdr:nvSpPr>
            <xdr:cNvPr id="3105" name="VarErr27" hidden="1">
              <a:extLst>
                <a:ext uri="{63B3BB69-23CF-44E3-9099-C40C66FF867C}">
                  <a14:compatExt spid="_x0000_s31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30</xdr:row>
          <xdr:rowOff>19050</xdr:rowOff>
        </xdr:from>
        <xdr:to>
          <xdr:col>2</xdr:col>
          <xdr:colOff>409575</xdr:colOff>
          <xdr:row>30</xdr:row>
          <xdr:rowOff>142875</xdr:rowOff>
        </xdr:to>
        <xdr:sp macro="" textlink="">
          <xdr:nvSpPr>
            <xdr:cNvPr id="3106" name="VarErr28" hidden="1">
              <a:extLst>
                <a:ext uri="{63B3BB69-23CF-44E3-9099-C40C66FF867C}">
                  <a14:compatExt spid="_x0000_s31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31</xdr:row>
          <xdr:rowOff>19050</xdr:rowOff>
        </xdr:from>
        <xdr:to>
          <xdr:col>2</xdr:col>
          <xdr:colOff>409575</xdr:colOff>
          <xdr:row>31</xdr:row>
          <xdr:rowOff>142875</xdr:rowOff>
        </xdr:to>
        <xdr:sp macro="" textlink="">
          <xdr:nvSpPr>
            <xdr:cNvPr id="3107" name="VarErr29" hidden="1">
              <a:extLst>
                <a:ext uri="{63B3BB69-23CF-44E3-9099-C40C66FF867C}">
                  <a14:compatExt spid="_x0000_s31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32</xdr:row>
          <xdr:rowOff>19050</xdr:rowOff>
        </xdr:from>
        <xdr:to>
          <xdr:col>2</xdr:col>
          <xdr:colOff>409575</xdr:colOff>
          <xdr:row>32</xdr:row>
          <xdr:rowOff>142875</xdr:rowOff>
        </xdr:to>
        <xdr:sp macro="" textlink="">
          <xdr:nvSpPr>
            <xdr:cNvPr id="3108" name="VarErr30" hidden="1">
              <a:extLst>
                <a:ext uri="{63B3BB69-23CF-44E3-9099-C40C66FF867C}">
                  <a14:compatExt spid="_x0000_s31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33</xdr:row>
          <xdr:rowOff>19050</xdr:rowOff>
        </xdr:from>
        <xdr:to>
          <xdr:col>2</xdr:col>
          <xdr:colOff>409575</xdr:colOff>
          <xdr:row>33</xdr:row>
          <xdr:rowOff>142875</xdr:rowOff>
        </xdr:to>
        <xdr:sp macro="" textlink="">
          <xdr:nvSpPr>
            <xdr:cNvPr id="3109" name="VarErr31" hidden="1">
              <a:extLst>
                <a:ext uri="{63B3BB69-23CF-44E3-9099-C40C66FF867C}">
                  <a14:compatExt spid="_x0000_s31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34</xdr:row>
          <xdr:rowOff>19050</xdr:rowOff>
        </xdr:from>
        <xdr:to>
          <xdr:col>2</xdr:col>
          <xdr:colOff>409575</xdr:colOff>
          <xdr:row>34</xdr:row>
          <xdr:rowOff>142875</xdr:rowOff>
        </xdr:to>
        <xdr:sp macro="" textlink="">
          <xdr:nvSpPr>
            <xdr:cNvPr id="3110" name="VarErr32" hidden="1">
              <a:extLst>
                <a:ext uri="{63B3BB69-23CF-44E3-9099-C40C66FF867C}">
                  <a14:compatExt spid="_x0000_s31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35</xdr:row>
          <xdr:rowOff>19050</xdr:rowOff>
        </xdr:from>
        <xdr:to>
          <xdr:col>2</xdr:col>
          <xdr:colOff>409575</xdr:colOff>
          <xdr:row>35</xdr:row>
          <xdr:rowOff>142875</xdr:rowOff>
        </xdr:to>
        <xdr:sp macro="" textlink="">
          <xdr:nvSpPr>
            <xdr:cNvPr id="3111" name="VarErr33" hidden="1">
              <a:extLst>
                <a:ext uri="{63B3BB69-23CF-44E3-9099-C40C66FF867C}">
                  <a14:compatExt spid="_x0000_s31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36</xdr:row>
          <xdr:rowOff>19050</xdr:rowOff>
        </xdr:from>
        <xdr:to>
          <xdr:col>2</xdr:col>
          <xdr:colOff>409575</xdr:colOff>
          <xdr:row>36</xdr:row>
          <xdr:rowOff>142875</xdr:rowOff>
        </xdr:to>
        <xdr:sp macro="" textlink="">
          <xdr:nvSpPr>
            <xdr:cNvPr id="3112" name="VarErr34" hidden="1">
              <a:extLst>
                <a:ext uri="{63B3BB69-23CF-44E3-9099-C40C66FF867C}">
                  <a14:compatExt spid="_x0000_s31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37</xdr:row>
          <xdr:rowOff>19050</xdr:rowOff>
        </xdr:from>
        <xdr:to>
          <xdr:col>2</xdr:col>
          <xdr:colOff>409575</xdr:colOff>
          <xdr:row>37</xdr:row>
          <xdr:rowOff>142875</xdr:rowOff>
        </xdr:to>
        <xdr:sp macro="" textlink="">
          <xdr:nvSpPr>
            <xdr:cNvPr id="3113" name="VarErr35" hidden="1">
              <a:extLst>
                <a:ext uri="{63B3BB69-23CF-44E3-9099-C40C66FF867C}">
                  <a14:compatExt spid="_x0000_s31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38</xdr:row>
          <xdr:rowOff>19050</xdr:rowOff>
        </xdr:from>
        <xdr:to>
          <xdr:col>2</xdr:col>
          <xdr:colOff>409575</xdr:colOff>
          <xdr:row>38</xdr:row>
          <xdr:rowOff>142875</xdr:rowOff>
        </xdr:to>
        <xdr:sp macro="" textlink="">
          <xdr:nvSpPr>
            <xdr:cNvPr id="3114" name="VarErr36" hidden="1">
              <a:extLst>
                <a:ext uri="{63B3BB69-23CF-44E3-9099-C40C66FF867C}">
                  <a14:compatExt spid="_x0000_s31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39</xdr:row>
          <xdr:rowOff>19050</xdr:rowOff>
        </xdr:from>
        <xdr:to>
          <xdr:col>2</xdr:col>
          <xdr:colOff>409575</xdr:colOff>
          <xdr:row>39</xdr:row>
          <xdr:rowOff>142875</xdr:rowOff>
        </xdr:to>
        <xdr:sp macro="" textlink="">
          <xdr:nvSpPr>
            <xdr:cNvPr id="3115" name="VarErr37" hidden="1">
              <a:extLst>
                <a:ext uri="{63B3BB69-23CF-44E3-9099-C40C66FF867C}">
                  <a14:compatExt spid="_x0000_s31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40</xdr:row>
          <xdr:rowOff>19050</xdr:rowOff>
        </xdr:from>
        <xdr:to>
          <xdr:col>2</xdr:col>
          <xdr:colOff>409575</xdr:colOff>
          <xdr:row>40</xdr:row>
          <xdr:rowOff>142875</xdr:rowOff>
        </xdr:to>
        <xdr:sp macro="" textlink="">
          <xdr:nvSpPr>
            <xdr:cNvPr id="3116" name="VarErr38" hidden="1">
              <a:extLst>
                <a:ext uri="{63B3BB69-23CF-44E3-9099-C40C66FF867C}">
                  <a14:compatExt spid="_x0000_s31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41</xdr:row>
          <xdr:rowOff>19050</xdr:rowOff>
        </xdr:from>
        <xdr:to>
          <xdr:col>2</xdr:col>
          <xdr:colOff>409575</xdr:colOff>
          <xdr:row>41</xdr:row>
          <xdr:rowOff>142875</xdr:rowOff>
        </xdr:to>
        <xdr:sp macro="" textlink="">
          <xdr:nvSpPr>
            <xdr:cNvPr id="3117" name="VarErr39" hidden="1">
              <a:extLst>
                <a:ext uri="{63B3BB69-23CF-44E3-9099-C40C66FF867C}">
                  <a14:compatExt spid="_x0000_s31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42</xdr:row>
          <xdr:rowOff>19050</xdr:rowOff>
        </xdr:from>
        <xdr:to>
          <xdr:col>2</xdr:col>
          <xdr:colOff>409575</xdr:colOff>
          <xdr:row>42</xdr:row>
          <xdr:rowOff>142875</xdr:rowOff>
        </xdr:to>
        <xdr:sp macro="" textlink="">
          <xdr:nvSpPr>
            <xdr:cNvPr id="3118" name="VarErr40" hidden="1">
              <a:extLst>
                <a:ext uri="{63B3BB69-23CF-44E3-9099-C40C66FF867C}">
                  <a14:compatExt spid="_x0000_s31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43</xdr:row>
          <xdr:rowOff>19050</xdr:rowOff>
        </xdr:from>
        <xdr:to>
          <xdr:col>2</xdr:col>
          <xdr:colOff>409575</xdr:colOff>
          <xdr:row>43</xdr:row>
          <xdr:rowOff>142875</xdr:rowOff>
        </xdr:to>
        <xdr:sp macro="" textlink="">
          <xdr:nvSpPr>
            <xdr:cNvPr id="3119" name="VarErr41" hidden="1">
              <a:extLst>
                <a:ext uri="{63B3BB69-23CF-44E3-9099-C40C66FF867C}">
                  <a14:compatExt spid="_x0000_s31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44</xdr:row>
          <xdr:rowOff>19050</xdr:rowOff>
        </xdr:from>
        <xdr:to>
          <xdr:col>2</xdr:col>
          <xdr:colOff>409575</xdr:colOff>
          <xdr:row>44</xdr:row>
          <xdr:rowOff>142875</xdr:rowOff>
        </xdr:to>
        <xdr:sp macro="" textlink="">
          <xdr:nvSpPr>
            <xdr:cNvPr id="3120" name="VarErr42" hidden="1">
              <a:extLst>
                <a:ext uri="{63B3BB69-23CF-44E3-9099-C40C66FF867C}">
                  <a14:compatExt spid="_x0000_s31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45</xdr:row>
          <xdr:rowOff>19050</xdr:rowOff>
        </xdr:from>
        <xdr:to>
          <xdr:col>2</xdr:col>
          <xdr:colOff>409575</xdr:colOff>
          <xdr:row>45</xdr:row>
          <xdr:rowOff>142875</xdr:rowOff>
        </xdr:to>
        <xdr:sp macro="" textlink="">
          <xdr:nvSpPr>
            <xdr:cNvPr id="3121" name="VarErr43" hidden="1">
              <a:extLst>
                <a:ext uri="{63B3BB69-23CF-44E3-9099-C40C66FF867C}">
                  <a14:compatExt spid="_x0000_s31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46</xdr:row>
          <xdr:rowOff>19050</xdr:rowOff>
        </xdr:from>
        <xdr:to>
          <xdr:col>2</xdr:col>
          <xdr:colOff>409575</xdr:colOff>
          <xdr:row>46</xdr:row>
          <xdr:rowOff>142875</xdr:rowOff>
        </xdr:to>
        <xdr:sp macro="" textlink="">
          <xdr:nvSpPr>
            <xdr:cNvPr id="3122" name="VarErr44" hidden="1">
              <a:extLst>
                <a:ext uri="{63B3BB69-23CF-44E3-9099-C40C66FF867C}">
                  <a14:compatExt spid="_x0000_s31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47</xdr:row>
          <xdr:rowOff>19050</xdr:rowOff>
        </xdr:from>
        <xdr:to>
          <xdr:col>2</xdr:col>
          <xdr:colOff>409575</xdr:colOff>
          <xdr:row>47</xdr:row>
          <xdr:rowOff>142875</xdr:rowOff>
        </xdr:to>
        <xdr:sp macro="" textlink="">
          <xdr:nvSpPr>
            <xdr:cNvPr id="3123" name="VarErr45" hidden="1">
              <a:extLst>
                <a:ext uri="{63B3BB69-23CF-44E3-9099-C40C66FF867C}">
                  <a14:compatExt spid="_x0000_s31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48</xdr:row>
          <xdr:rowOff>19050</xdr:rowOff>
        </xdr:from>
        <xdr:to>
          <xdr:col>2</xdr:col>
          <xdr:colOff>409575</xdr:colOff>
          <xdr:row>48</xdr:row>
          <xdr:rowOff>142875</xdr:rowOff>
        </xdr:to>
        <xdr:sp macro="" textlink="">
          <xdr:nvSpPr>
            <xdr:cNvPr id="3124" name="VarErr46" hidden="1">
              <a:extLst>
                <a:ext uri="{63B3BB69-23CF-44E3-9099-C40C66FF867C}">
                  <a14:compatExt spid="_x0000_s31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49</xdr:row>
          <xdr:rowOff>19050</xdr:rowOff>
        </xdr:from>
        <xdr:to>
          <xdr:col>2</xdr:col>
          <xdr:colOff>409575</xdr:colOff>
          <xdr:row>49</xdr:row>
          <xdr:rowOff>142875</xdr:rowOff>
        </xdr:to>
        <xdr:sp macro="" textlink="">
          <xdr:nvSpPr>
            <xdr:cNvPr id="3125" name="VarErr47" hidden="1">
              <a:extLst>
                <a:ext uri="{63B3BB69-23CF-44E3-9099-C40C66FF867C}">
                  <a14:compatExt spid="_x0000_s31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50</xdr:row>
          <xdr:rowOff>19050</xdr:rowOff>
        </xdr:from>
        <xdr:to>
          <xdr:col>2</xdr:col>
          <xdr:colOff>409575</xdr:colOff>
          <xdr:row>50</xdr:row>
          <xdr:rowOff>142875</xdr:rowOff>
        </xdr:to>
        <xdr:sp macro="" textlink="">
          <xdr:nvSpPr>
            <xdr:cNvPr id="3126" name="VarErr48" hidden="1">
              <a:extLst>
                <a:ext uri="{63B3BB69-23CF-44E3-9099-C40C66FF867C}">
                  <a14:compatExt spid="_x0000_s31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51</xdr:row>
          <xdr:rowOff>19050</xdr:rowOff>
        </xdr:from>
        <xdr:to>
          <xdr:col>2</xdr:col>
          <xdr:colOff>409575</xdr:colOff>
          <xdr:row>51</xdr:row>
          <xdr:rowOff>142875</xdr:rowOff>
        </xdr:to>
        <xdr:sp macro="" textlink="">
          <xdr:nvSpPr>
            <xdr:cNvPr id="3127" name="VarErr49" hidden="1">
              <a:extLst>
                <a:ext uri="{63B3BB69-23CF-44E3-9099-C40C66FF867C}">
                  <a14:compatExt spid="_x0000_s31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52</xdr:row>
          <xdr:rowOff>19050</xdr:rowOff>
        </xdr:from>
        <xdr:to>
          <xdr:col>2</xdr:col>
          <xdr:colOff>409575</xdr:colOff>
          <xdr:row>52</xdr:row>
          <xdr:rowOff>142875</xdr:rowOff>
        </xdr:to>
        <xdr:sp macro="" textlink="">
          <xdr:nvSpPr>
            <xdr:cNvPr id="3128" name="VarErr50" hidden="1">
              <a:extLst>
                <a:ext uri="{63B3BB69-23CF-44E3-9099-C40C66FF867C}">
                  <a14:compatExt spid="_x0000_s31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53</xdr:row>
          <xdr:rowOff>19050</xdr:rowOff>
        </xdr:from>
        <xdr:to>
          <xdr:col>2</xdr:col>
          <xdr:colOff>409575</xdr:colOff>
          <xdr:row>53</xdr:row>
          <xdr:rowOff>142875</xdr:rowOff>
        </xdr:to>
        <xdr:sp macro="" textlink="">
          <xdr:nvSpPr>
            <xdr:cNvPr id="3129" name="VarErr51" hidden="1">
              <a:extLst>
                <a:ext uri="{63B3BB69-23CF-44E3-9099-C40C66FF867C}">
                  <a14:compatExt spid="_x0000_s31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54</xdr:row>
          <xdr:rowOff>19050</xdr:rowOff>
        </xdr:from>
        <xdr:to>
          <xdr:col>2</xdr:col>
          <xdr:colOff>409575</xdr:colOff>
          <xdr:row>54</xdr:row>
          <xdr:rowOff>142875</xdr:rowOff>
        </xdr:to>
        <xdr:sp macro="" textlink="">
          <xdr:nvSpPr>
            <xdr:cNvPr id="3130" name="VarErr52" hidden="1">
              <a:extLst>
                <a:ext uri="{63B3BB69-23CF-44E3-9099-C40C66FF867C}">
                  <a14:compatExt spid="_x0000_s31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55</xdr:row>
          <xdr:rowOff>19050</xdr:rowOff>
        </xdr:from>
        <xdr:to>
          <xdr:col>2</xdr:col>
          <xdr:colOff>409575</xdr:colOff>
          <xdr:row>55</xdr:row>
          <xdr:rowOff>142875</xdr:rowOff>
        </xdr:to>
        <xdr:sp macro="" textlink="">
          <xdr:nvSpPr>
            <xdr:cNvPr id="3131" name="VarErr53" hidden="1">
              <a:extLst>
                <a:ext uri="{63B3BB69-23CF-44E3-9099-C40C66FF867C}">
                  <a14:compatExt spid="_x0000_s31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56</xdr:row>
          <xdr:rowOff>19050</xdr:rowOff>
        </xdr:from>
        <xdr:to>
          <xdr:col>2</xdr:col>
          <xdr:colOff>409575</xdr:colOff>
          <xdr:row>56</xdr:row>
          <xdr:rowOff>142875</xdr:rowOff>
        </xdr:to>
        <xdr:sp macro="" textlink="">
          <xdr:nvSpPr>
            <xdr:cNvPr id="3132" name="VarErr54" hidden="1">
              <a:extLst>
                <a:ext uri="{63B3BB69-23CF-44E3-9099-C40C66FF867C}">
                  <a14:compatExt spid="_x0000_s31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57</xdr:row>
          <xdr:rowOff>19050</xdr:rowOff>
        </xdr:from>
        <xdr:to>
          <xdr:col>2</xdr:col>
          <xdr:colOff>409575</xdr:colOff>
          <xdr:row>57</xdr:row>
          <xdr:rowOff>142875</xdr:rowOff>
        </xdr:to>
        <xdr:sp macro="" textlink="">
          <xdr:nvSpPr>
            <xdr:cNvPr id="3133" name="VarErr55" hidden="1">
              <a:extLst>
                <a:ext uri="{63B3BB69-23CF-44E3-9099-C40C66FF867C}">
                  <a14:compatExt spid="_x0000_s31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58</xdr:row>
          <xdr:rowOff>19050</xdr:rowOff>
        </xdr:from>
        <xdr:to>
          <xdr:col>2</xdr:col>
          <xdr:colOff>409575</xdr:colOff>
          <xdr:row>58</xdr:row>
          <xdr:rowOff>142875</xdr:rowOff>
        </xdr:to>
        <xdr:sp macro="" textlink="">
          <xdr:nvSpPr>
            <xdr:cNvPr id="3134" name="VarErr56" hidden="1">
              <a:extLst>
                <a:ext uri="{63B3BB69-23CF-44E3-9099-C40C66FF867C}">
                  <a14:compatExt spid="_x0000_s31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59</xdr:row>
          <xdr:rowOff>19050</xdr:rowOff>
        </xdr:from>
        <xdr:to>
          <xdr:col>2</xdr:col>
          <xdr:colOff>409575</xdr:colOff>
          <xdr:row>59</xdr:row>
          <xdr:rowOff>142875</xdr:rowOff>
        </xdr:to>
        <xdr:sp macro="" textlink="">
          <xdr:nvSpPr>
            <xdr:cNvPr id="3135" name="VarErr57" hidden="1">
              <a:extLst>
                <a:ext uri="{63B3BB69-23CF-44E3-9099-C40C66FF867C}">
                  <a14:compatExt spid="_x0000_s31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60</xdr:row>
          <xdr:rowOff>19050</xdr:rowOff>
        </xdr:from>
        <xdr:to>
          <xdr:col>2</xdr:col>
          <xdr:colOff>409575</xdr:colOff>
          <xdr:row>60</xdr:row>
          <xdr:rowOff>142875</xdr:rowOff>
        </xdr:to>
        <xdr:sp macro="" textlink="">
          <xdr:nvSpPr>
            <xdr:cNvPr id="3136" name="VarErr58" hidden="1">
              <a:extLst>
                <a:ext uri="{63B3BB69-23CF-44E3-9099-C40C66FF867C}">
                  <a14:compatExt spid="_x0000_s31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61</xdr:row>
          <xdr:rowOff>19050</xdr:rowOff>
        </xdr:from>
        <xdr:to>
          <xdr:col>2</xdr:col>
          <xdr:colOff>409575</xdr:colOff>
          <xdr:row>61</xdr:row>
          <xdr:rowOff>142875</xdr:rowOff>
        </xdr:to>
        <xdr:sp macro="" textlink="">
          <xdr:nvSpPr>
            <xdr:cNvPr id="3137" name="VarErr59" hidden="1">
              <a:extLst>
                <a:ext uri="{63B3BB69-23CF-44E3-9099-C40C66FF867C}">
                  <a14:compatExt spid="_x0000_s31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62</xdr:row>
          <xdr:rowOff>19050</xdr:rowOff>
        </xdr:from>
        <xdr:to>
          <xdr:col>2</xdr:col>
          <xdr:colOff>409575</xdr:colOff>
          <xdr:row>62</xdr:row>
          <xdr:rowOff>142875</xdr:rowOff>
        </xdr:to>
        <xdr:sp macro="" textlink="">
          <xdr:nvSpPr>
            <xdr:cNvPr id="3138" name="VarErr60" hidden="1">
              <a:extLst>
                <a:ext uri="{63B3BB69-23CF-44E3-9099-C40C66FF867C}">
                  <a14:compatExt spid="_x0000_s31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63</xdr:row>
          <xdr:rowOff>19050</xdr:rowOff>
        </xdr:from>
        <xdr:to>
          <xdr:col>2</xdr:col>
          <xdr:colOff>409575</xdr:colOff>
          <xdr:row>63</xdr:row>
          <xdr:rowOff>142875</xdr:rowOff>
        </xdr:to>
        <xdr:sp macro="" textlink="">
          <xdr:nvSpPr>
            <xdr:cNvPr id="3139" name="VarErr61" hidden="1">
              <a:extLst>
                <a:ext uri="{63B3BB69-23CF-44E3-9099-C40C66FF867C}">
                  <a14:compatExt spid="_x0000_s31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64</xdr:row>
          <xdr:rowOff>19050</xdr:rowOff>
        </xdr:from>
        <xdr:to>
          <xdr:col>2</xdr:col>
          <xdr:colOff>409575</xdr:colOff>
          <xdr:row>64</xdr:row>
          <xdr:rowOff>142875</xdr:rowOff>
        </xdr:to>
        <xdr:sp macro="" textlink="">
          <xdr:nvSpPr>
            <xdr:cNvPr id="3140" name="VarErr62" hidden="1">
              <a:extLst>
                <a:ext uri="{63B3BB69-23CF-44E3-9099-C40C66FF867C}">
                  <a14:compatExt spid="_x0000_s31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65</xdr:row>
          <xdr:rowOff>19050</xdr:rowOff>
        </xdr:from>
        <xdr:to>
          <xdr:col>2</xdr:col>
          <xdr:colOff>409575</xdr:colOff>
          <xdr:row>65</xdr:row>
          <xdr:rowOff>142875</xdr:rowOff>
        </xdr:to>
        <xdr:sp macro="" textlink="">
          <xdr:nvSpPr>
            <xdr:cNvPr id="3141" name="VarErr63" hidden="1">
              <a:extLst>
                <a:ext uri="{63B3BB69-23CF-44E3-9099-C40C66FF867C}">
                  <a14:compatExt spid="_x0000_s31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66</xdr:row>
          <xdr:rowOff>19050</xdr:rowOff>
        </xdr:from>
        <xdr:to>
          <xdr:col>2</xdr:col>
          <xdr:colOff>409575</xdr:colOff>
          <xdr:row>66</xdr:row>
          <xdr:rowOff>142875</xdr:rowOff>
        </xdr:to>
        <xdr:sp macro="" textlink="">
          <xdr:nvSpPr>
            <xdr:cNvPr id="3142" name="VarErr64" hidden="1">
              <a:extLst>
                <a:ext uri="{63B3BB69-23CF-44E3-9099-C40C66FF867C}">
                  <a14:compatExt spid="_x0000_s31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67</xdr:row>
          <xdr:rowOff>19050</xdr:rowOff>
        </xdr:from>
        <xdr:to>
          <xdr:col>2</xdr:col>
          <xdr:colOff>409575</xdr:colOff>
          <xdr:row>67</xdr:row>
          <xdr:rowOff>142875</xdr:rowOff>
        </xdr:to>
        <xdr:sp macro="" textlink="">
          <xdr:nvSpPr>
            <xdr:cNvPr id="3143" name="VarErr65" hidden="1">
              <a:extLst>
                <a:ext uri="{63B3BB69-23CF-44E3-9099-C40C66FF867C}">
                  <a14:compatExt spid="_x0000_s31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68</xdr:row>
          <xdr:rowOff>19050</xdr:rowOff>
        </xdr:from>
        <xdr:to>
          <xdr:col>2</xdr:col>
          <xdr:colOff>409575</xdr:colOff>
          <xdr:row>68</xdr:row>
          <xdr:rowOff>142875</xdr:rowOff>
        </xdr:to>
        <xdr:sp macro="" textlink="">
          <xdr:nvSpPr>
            <xdr:cNvPr id="3144" name="VarErr66" hidden="1">
              <a:extLst>
                <a:ext uri="{63B3BB69-23CF-44E3-9099-C40C66FF867C}">
                  <a14:compatExt spid="_x0000_s31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69</xdr:row>
          <xdr:rowOff>19050</xdr:rowOff>
        </xdr:from>
        <xdr:to>
          <xdr:col>2</xdr:col>
          <xdr:colOff>409575</xdr:colOff>
          <xdr:row>69</xdr:row>
          <xdr:rowOff>142875</xdr:rowOff>
        </xdr:to>
        <xdr:sp macro="" textlink="">
          <xdr:nvSpPr>
            <xdr:cNvPr id="3145" name="VarErr67" hidden="1">
              <a:extLst>
                <a:ext uri="{63B3BB69-23CF-44E3-9099-C40C66FF867C}">
                  <a14:compatExt spid="_x0000_s31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70</xdr:row>
          <xdr:rowOff>19050</xdr:rowOff>
        </xdr:from>
        <xdr:to>
          <xdr:col>2</xdr:col>
          <xdr:colOff>409575</xdr:colOff>
          <xdr:row>70</xdr:row>
          <xdr:rowOff>142875</xdr:rowOff>
        </xdr:to>
        <xdr:sp macro="" textlink="">
          <xdr:nvSpPr>
            <xdr:cNvPr id="3146" name="VarErr68" hidden="1">
              <a:extLst>
                <a:ext uri="{63B3BB69-23CF-44E3-9099-C40C66FF867C}">
                  <a14:compatExt spid="_x0000_s31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71</xdr:row>
          <xdr:rowOff>19050</xdr:rowOff>
        </xdr:from>
        <xdr:to>
          <xdr:col>2</xdr:col>
          <xdr:colOff>409575</xdr:colOff>
          <xdr:row>71</xdr:row>
          <xdr:rowOff>142875</xdr:rowOff>
        </xdr:to>
        <xdr:sp macro="" textlink="">
          <xdr:nvSpPr>
            <xdr:cNvPr id="3147" name="VarErr69" hidden="1">
              <a:extLst>
                <a:ext uri="{63B3BB69-23CF-44E3-9099-C40C66FF867C}">
                  <a14:compatExt spid="_x0000_s31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72</xdr:row>
          <xdr:rowOff>19050</xdr:rowOff>
        </xdr:from>
        <xdr:to>
          <xdr:col>2</xdr:col>
          <xdr:colOff>409575</xdr:colOff>
          <xdr:row>72</xdr:row>
          <xdr:rowOff>142875</xdr:rowOff>
        </xdr:to>
        <xdr:sp macro="" textlink="">
          <xdr:nvSpPr>
            <xdr:cNvPr id="3148" name="VarErr70" hidden="1">
              <a:extLst>
                <a:ext uri="{63B3BB69-23CF-44E3-9099-C40C66FF867C}">
                  <a14:compatExt spid="_x0000_s31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73</xdr:row>
          <xdr:rowOff>19050</xdr:rowOff>
        </xdr:from>
        <xdr:to>
          <xdr:col>2</xdr:col>
          <xdr:colOff>409575</xdr:colOff>
          <xdr:row>73</xdr:row>
          <xdr:rowOff>142875</xdr:rowOff>
        </xdr:to>
        <xdr:sp macro="" textlink="">
          <xdr:nvSpPr>
            <xdr:cNvPr id="3149" name="VarErr71" hidden="1">
              <a:extLst>
                <a:ext uri="{63B3BB69-23CF-44E3-9099-C40C66FF867C}">
                  <a14:compatExt spid="_x0000_s31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74</xdr:row>
          <xdr:rowOff>19050</xdr:rowOff>
        </xdr:from>
        <xdr:to>
          <xdr:col>2</xdr:col>
          <xdr:colOff>409575</xdr:colOff>
          <xdr:row>74</xdr:row>
          <xdr:rowOff>142875</xdr:rowOff>
        </xdr:to>
        <xdr:sp macro="" textlink="">
          <xdr:nvSpPr>
            <xdr:cNvPr id="3150" name="VarErr72" hidden="1">
              <a:extLst>
                <a:ext uri="{63B3BB69-23CF-44E3-9099-C40C66FF867C}">
                  <a14:compatExt spid="_x0000_s31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75</xdr:row>
          <xdr:rowOff>19050</xdr:rowOff>
        </xdr:from>
        <xdr:to>
          <xdr:col>2</xdr:col>
          <xdr:colOff>409575</xdr:colOff>
          <xdr:row>75</xdr:row>
          <xdr:rowOff>142875</xdr:rowOff>
        </xdr:to>
        <xdr:sp macro="" textlink="">
          <xdr:nvSpPr>
            <xdr:cNvPr id="3151" name="VarErr73" hidden="1">
              <a:extLst>
                <a:ext uri="{63B3BB69-23CF-44E3-9099-C40C66FF867C}">
                  <a14:compatExt spid="_x0000_s31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76</xdr:row>
          <xdr:rowOff>19050</xdr:rowOff>
        </xdr:from>
        <xdr:to>
          <xdr:col>2</xdr:col>
          <xdr:colOff>409575</xdr:colOff>
          <xdr:row>76</xdr:row>
          <xdr:rowOff>142875</xdr:rowOff>
        </xdr:to>
        <xdr:sp macro="" textlink="">
          <xdr:nvSpPr>
            <xdr:cNvPr id="3152" name="VarErr74" hidden="1">
              <a:extLst>
                <a:ext uri="{63B3BB69-23CF-44E3-9099-C40C66FF867C}">
                  <a14:compatExt spid="_x0000_s31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77</xdr:row>
          <xdr:rowOff>19050</xdr:rowOff>
        </xdr:from>
        <xdr:to>
          <xdr:col>2</xdr:col>
          <xdr:colOff>409575</xdr:colOff>
          <xdr:row>77</xdr:row>
          <xdr:rowOff>142875</xdr:rowOff>
        </xdr:to>
        <xdr:sp macro="" textlink="">
          <xdr:nvSpPr>
            <xdr:cNvPr id="3153" name="VarErr75" hidden="1">
              <a:extLst>
                <a:ext uri="{63B3BB69-23CF-44E3-9099-C40C66FF867C}">
                  <a14:compatExt spid="_x0000_s31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78</xdr:row>
          <xdr:rowOff>19050</xdr:rowOff>
        </xdr:from>
        <xdr:to>
          <xdr:col>2</xdr:col>
          <xdr:colOff>409575</xdr:colOff>
          <xdr:row>78</xdr:row>
          <xdr:rowOff>142875</xdr:rowOff>
        </xdr:to>
        <xdr:sp macro="" textlink="">
          <xdr:nvSpPr>
            <xdr:cNvPr id="3154" name="VarErr76" hidden="1">
              <a:extLst>
                <a:ext uri="{63B3BB69-23CF-44E3-9099-C40C66FF867C}">
                  <a14:compatExt spid="_x0000_s31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79</xdr:row>
          <xdr:rowOff>19050</xdr:rowOff>
        </xdr:from>
        <xdr:to>
          <xdr:col>2</xdr:col>
          <xdr:colOff>409575</xdr:colOff>
          <xdr:row>79</xdr:row>
          <xdr:rowOff>142875</xdr:rowOff>
        </xdr:to>
        <xdr:sp macro="" textlink="">
          <xdr:nvSpPr>
            <xdr:cNvPr id="3155" name="VarErr77" hidden="1">
              <a:extLst>
                <a:ext uri="{63B3BB69-23CF-44E3-9099-C40C66FF867C}">
                  <a14:compatExt spid="_x0000_s31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80</xdr:row>
          <xdr:rowOff>19050</xdr:rowOff>
        </xdr:from>
        <xdr:to>
          <xdr:col>2</xdr:col>
          <xdr:colOff>409575</xdr:colOff>
          <xdr:row>80</xdr:row>
          <xdr:rowOff>142875</xdr:rowOff>
        </xdr:to>
        <xdr:sp macro="" textlink="">
          <xdr:nvSpPr>
            <xdr:cNvPr id="3156" name="VarErr78" hidden="1">
              <a:extLst>
                <a:ext uri="{63B3BB69-23CF-44E3-9099-C40C66FF867C}">
                  <a14:compatExt spid="_x0000_s31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81</xdr:row>
          <xdr:rowOff>19050</xdr:rowOff>
        </xdr:from>
        <xdr:to>
          <xdr:col>2</xdr:col>
          <xdr:colOff>409575</xdr:colOff>
          <xdr:row>81</xdr:row>
          <xdr:rowOff>142875</xdr:rowOff>
        </xdr:to>
        <xdr:sp macro="" textlink="">
          <xdr:nvSpPr>
            <xdr:cNvPr id="3157" name="VarErr79" hidden="1">
              <a:extLst>
                <a:ext uri="{63B3BB69-23CF-44E3-9099-C40C66FF867C}">
                  <a14:compatExt spid="_x0000_s31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82</xdr:row>
          <xdr:rowOff>19050</xdr:rowOff>
        </xdr:from>
        <xdr:to>
          <xdr:col>2</xdr:col>
          <xdr:colOff>409575</xdr:colOff>
          <xdr:row>82</xdr:row>
          <xdr:rowOff>142875</xdr:rowOff>
        </xdr:to>
        <xdr:sp macro="" textlink="">
          <xdr:nvSpPr>
            <xdr:cNvPr id="3158" name="VarErr80" hidden="1">
              <a:extLst>
                <a:ext uri="{63B3BB69-23CF-44E3-9099-C40C66FF867C}">
                  <a14:compatExt spid="_x0000_s31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83</xdr:row>
          <xdr:rowOff>19050</xdr:rowOff>
        </xdr:from>
        <xdr:to>
          <xdr:col>2</xdr:col>
          <xdr:colOff>409575</xdr:colOff>
          <xdr:row>83</xdr:row>
          <xdr:rowOff>142875</xdr:rowOff>
        </xdr:to>
        <xdr:sp macro="" textlink="">
          <xdr:nvSpPr>
            <xdr:cNvPr id="3159" name="VarErr81" hidden="1">
              <a:extLst>
                <a:ext uri="{63B3BB69-23CF-44E3-9099-C40C66FF867C}">
                  <a14:compatExt spid="_x0000_s31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84</xdr:row>
          <xdr:rowOff>19050</xdr:rowOff>
        </xdr:from>
        <xdr:to>
          <xdr:col>2</xdr:col>
          <xdr:colOff>409575</xdr:colOff>
          <xdr:row>84</xdr:row>
          <xdr:rowOff>142875</xdr:rowOff>
        </xdr:to>
        <xdr:sp macro="" textlink="">
          <xdr:nvSpPr>
            <xdr:cNvPr id="3160" name="VarErr82" hidden="1">
              <a:extLst>
                <a:ext uri="{63B3BB69-23CF-44E3-9099-C40C66FF867C}">
                  <a14:compatExt spid="_x0000_s31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85</xdr:row>
          <xdr:rowOff>19050</xdr:rowOff>
        </xdr:from>
        <xdr:to>
          <xdr:col>2</xdr:col>
          <xdr:colOff>409575</xdr:colOff>
          <xdr:row>85</xdr:row>
          <xdr:rowOff>142875</xdr:rowOff>
        </xdr:to>
        <xdr:sp macro="" textlink="">
          <xdr:nvSpPr>
            <xdr:cNvPr id="3161" name="VarErr83" hidden="1">
              <a:extLst>
                <a:ext uri="{63B3BB69-23CF-44E3-9099-C40C66FF867C}">
                  <a14:compatExt spid="_x0000_s31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86</xdr:row>
          <xdr:rowOff>19050</xdr:rowOff>
        </xdr:from>
        <xdr:to>
          <xdr:col>2</xdr:col>
          <xdr:colOff>409575</xdr:colOff>
          <xdr:row>86</xdr:row>
          <xdr:rowOff>142875</xdr:rowOff>
        </xdr:to>
        <xdr:sp macro="" textlink="">
          <xdr:nvSpPr>
            <xdr:cNvPr id="3162" name="VarErr84" hidden="1">
              <a:extLst>
                <a:ext uri="{63B3BB69-23CF-44E3-9099-C40C66FF867C}">
                  <a14:compatExt spid="_x0000_s31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87</xdr:row>
          <xdr:rowOff>19050</xdr:rowOff>
        </xdr:from>
        <xdr:to>
          <xdr:col>2</xdr:col>
          <xdr:colOff>409575</xdr:colOff>
          <xdr:row>87</xdr:row>
          <xdr:rowOff>142875</xdr:rowOff>
        </xdr:to>
        <xdr:sp macro="" textlink="">
          <xdr:nvSpPr>
            <xdr:cNvPr id="3163" name="VarErr85" hidden="1">
              <a:extLst>
                <a:ext uri="{63B3BB69-23CF-44E3-9099-C40C66FF867C}">
                  <a14:compatExt spid="_x0000_s31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88</xdr:row>
          <xdr:rowOff>19050</xdr:rowOff>
        </xdr:from>
        <xdr:to>
          <xdr:col>2</xdr:col>
          <xdr:colOff>409575</xdr:colOff>
          <xdr:row>88</xdr:row>
          <xdr:rowOff>142875</xdr:rowOff>
        </xdr:to>
        <xdr:sp macro="" textlink="">
          <xdr:nvSpPr>
            <xdr:cNvPr id="3164" name="VarErr86" hidden="1">
              <a:extLst>
                <a:ext uri="{63B3BB69-23CF-44E3-9099-C40C66FF867C}">
                  <a14:compatExt spid="_x0000_s31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89</xdr:row>
          <xdr:rowOff>19050</xdr:rowOff>
        </xdr:from>
        <xdr:to>
          <xdr:col>2</xdr:col>
          <xdr:colOff>409575</xdr:colOff>
          <xdr:row>89</xdr:row>
          <xdr:rowOff>142875</xdr:rowOff>
        </xdr:to>
        <xdr:sp macro="" textlink="">
          <xdr:nvSpPr>
            <xdr:cNvPr id="3165" name="VarErr87" hidden="1">
              <a:extLst>
                <a:ext uri="{63B3BB69-23CF-44E3-9099-C40C66FF867C}">
                  <a14:compatExt spid="_x0000_s31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90</xdr:row>
          <xdr:rowOff>19050</xdr:rowOff>
        </xdr:from>
        <xdr:to>
          <xdr:col>2</xdr:col>
          <xdr:colOff>409575</xdr:colOff>
          <xdr:row>90</xdr:row>
          <xdr:rowOff>142875</xdr:rowOff>
        </xdr:to>
        <xdr:sp macro="" textlink="">
          <xdr:nvSpPr>
            <xdr:cNvPr id="3166" name="VarErr88" hidden="1">
              <a:extLst>
                <a:ext uri="{63B3BB69-23CF-44E3-9099-C40C66FF867C}">
                  <a14:compatExt spid="_x0000_s31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91</xdr:row>
          <xdr:rowOff>19050</xdr:rowOff>
        </xdr:from>
        <xdr:to>
          <xdr:col>2</xdr:col>
          <xdr:colOff>409575</xdr:colOff>
          <xdr:row>91</xdr:row>
          <xdr:rowOff>142875</xdr:rowOff>
        </xdr:to>
        <xdr:sp macro="" textlink="">
          <xdr:nvSpPr>
            <xdr:cNvPr id="3167" name="VarErr89" hidden="1">
              <a:extLst>
                <a:ext uri="{63B3BB69-23CF-44E3-9099-C40C66FF867C}">
                  <a14:compatExt spid="_x0000_s31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xdr:row>
          <xdr:rowOff>19050</xdr:rowOff>
        </xdr:from>
        <xdr:to>
          <xdr:col>3</xdr:col>
          <xdr:colOff>409575</xdr:colOff>
          <xdr:row>3</xdr:row>
          <xdr:rowOff>142875</xdr:rowOff>
        </xdr:to>
        <xdr:sp macro="" textlink="">
          <xdr:nvSpPr>
            <xdr:cNvPr id="3168" name="VarPreSelect1" hidden="1">
              <a:extLst>
                <a:ext uri="{63B3BB69-23CF-44E3-9099-C40C66FF867C}">
                  <a14:compatExt spid="_x0000_s31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xdr:row>
          <xdr:rowOff>19050</xdr:rowOff>
        </xdr:from>
        <xdr:to>
          <xdr:col>3</xdr:col>
          <xdr:colOff>409575</xdr:colOff>
          <xdr:row>4</xdr:row>
          <xdr:rowOff>142875</xdr:rowOff>
        </xdr:to>
        <xdr:sp macro="" textlink="">
          <xdr:nvSpPr>
            <xdr:cNvPr id="3169" name="VarPreSelect2" hidden="1">
              <a:extLst>
                <a:ext uri="{63B3BB69-23CF-44E3-9099-C40C66FF867C}">
                  <a14:compatExt spid="_x0000_s31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xdr:row>
          <xdr:rowOff>19050</xdr:rowOff>
        </xdr:from>
        <xdr:to>
          <xdr:col>3</xdr:col>
          <xdr:colOff>409575</xdr:colOff>
          <xdr:row>5</xdr:row>
          <xdr:rowOff>142875</xdr:rowOff>
        </xdr:to>
        <xdr:sp macro="" textlink="">
          <xdr:nvSpPr>
            <xdr:cNvPr id="3170" name="VarPreSelect3" hidden="1">
              <a:extLst>
                <a:ext uri="{63B3BB69-23CF-44E3-9099-C40C66FF867C}">
                  <a14:compatExt spid="_x0000_s31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xdr:row>
          <xdr:rowOff>19050</xdr:rowOff>
        </xdr:from>
        <xdr:to>
          <xdr:col>3</xdr:col>
          <xdr:colOff>409575</xdr:colOff>
          <xdr:row>6</xdr:row>
          <xdr:rowOff>142875</xdr:rowOff>
        </xdr:to>
        <xdr:sp macro="" textlink="">
          <xdr:nvSpPr>
            <xdr:cNvPr id="3171" name="VarPreSelect4" hidden="1">
              <a:extLst>
                <a:ext uri="{63B3BB69-23CF-44E3-9099-C40C66FF867C}">
                  <a14:compatExt spid="_x0000_s31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xdr:row>
          <xdr:rowOff>19050</xdr:rowOff>
        </xdr:from>
        <xdr:to>
          <xdr:col>3</xdr:col>
          <xdr:colOff>409575</xdr:colOff>
          <xdr:row>7</xdr:row>
          <xdr:rowOff>142875</xdr:rowOff>
        </xdr:to>
        <xdr:sp macro="" textlink="">
          <xdr:nvSpPr>
            <xdr:cNvPr id="3172" name="VarPreSelect5" hidden="1">
              <a:extLst>
                <a:ext uri="{63B3BB69-23CF-44E3-9099-C40C66FF867C}">
                  <a14:compatExt spid="_x0000_s31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xdr:row>
          <xdr:rowOff>19050</xdr:rowOff>
        </xdr:from>
        <xdr:to>
          <xdr:col>3</xdr:col>
          <xdr:colOff>409575</xdr:colOff>
          <xdr:row>8</xdr:row>
          <xdr:rowOff>142875</xdr:rowOff>
        </xdr:to>
        <xdr:sp macro="" textlink="">
          <xdr:nvSpPr>
            <xdr:cNvPr id="3173" name="VarPreSelect6" hidden="1">
              <a:extLst>
                <a:ext uri="{63B3BB69-23CF-44E3-9099-C40C66FF867C}">
                  <a14:compatExt spid="_x0000_s31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xdr:row>
          <xdr:rowOff>19050</xdr:rowOff>
        </xdr:from>
        <xdr:to>
          <xdr:col>3</xdr:col>
          <xdr:colOff>409575</xdr:colOff>
          <xdr:row>9</xdr:row>
          <xdr:rowOff>142875</xdr:rowOff>
        </xdr:to>
        <xdr:sp macro="" textlink="">
          <xdr:nvSpPr>
            <xdr:cNvPr id="3174" name="VarPreSelect7" hidden="1">
              <a:extLst>
                <a:ext uri="{63B3BB69-23CF-44E3-9099-C40C66FF867C}">
                  <a14:compatExt spid="_x0000_s31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10</xdr:row>
          <xdr:rowOff>19050</xdr:rowOff>
        </xdr:from>
        <xdr:to>
          <xdr:col>3</xdr:col>
          <xdr:colOff>409575</xdr:colOff>
          <xdr:row>10</xdr:row>
          <xdr:rowOff>142875</xdr:rowOff>
        </xdr:to>
        <xdr:sp macro="" textlink="">
          <xdr:nvSpPr>
            <xdr:cNvPr id="3175" name="VarPreSelect8" hidden="1">
              <a:extLst>
                <a:ext uri="{63B3BB69-23CF-44E3-9099-C40C66FF867C}">
                  <a14:compatExt spid="_x0000_s31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11</xdr:row>
          <xdr:rowOff>19050</xdr:rowOff>
        </xdr:from>
        <xdr:to>
          <xdr:col>3</xdr:col>
          <xdr:colOff>409575</xdr:colOff>
          <xdr:row>11</xdr:row>
          <xdr:rowOff>142875</xdr:rowOff>
        </xdr:to>
        <xdr:sp macro="" textlink="">
          <xdr:nvSpPr>
            <xdr:cNvPr id="3176" name="VarPreSelect9" hidden="1">
              <a:extLst>
                <a:ext uri="{63B3BB69-23CF-44E3-9099-C40C66FF867C}">
                  <a14:compatExt spid="_x0000_s31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12</xdr:row>
          <xdr:rowOff>19050</xdr:rowOff>
        </xdr:from>
        <xdr:to>
          <xdr:col>3</xdr:col>
          <xdr:colOff>409575</xdr:colOff>
          <xdr:row>12</xdr:row>
          <xdr:rowOff>142875</xdr:rowOff>
        </xdr:to>
        <xdr:sp macro="" textlink="">
          <xdr:nvSpPr>
            <xdr:cNvPr id="3177" name="VarPreSelect10" hidden="1">
              <a:extLst>
                <a:ext uri="{63B3BB69-23CF-44E3-9099-C40C66FF867C}">
                  <a14:compatExt spid="_x0000_s31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13</xdr:row>
          <xdr:rowOff>19050</xdr:rowOff>
        </xdr:from>
        <xdr:to>
          <xdr:col>3</xdr:col>
          <xdr:colOff>409575</xdr:colOff>
          <xdr:row>13</xdr:row>
          <xdr:rowOff>142875</xdr:rowOff>
        </xdr:to>
        <xdr:sp macro="" textlink="">
          <xdr:nvSpPr>
            <xdr:cNvPr id="3178" name="VarPreSelect11" hidden="1">
              <a:extLst>
                <a:ext uri="{63B3BB69-23CF-44E3-9099-C40C66FF867C}">
                  <a14:compatExt spid="_x0000_s31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14</xdr:row>
          <xdr:rowOff>19050</xdr:rowOff>
        </xdr:from>
        <xdr:to>
          <xdr:col>3</xdr:col>
          <xdr:colOff>409575</xdr:colOff>
          <xdr:row>14</xdr:row>
          <xdr:rowOff>142875</xdr:rowOff>
        </xdr:to>
        <xdr:sp macro="" textlink="">
          <xdr:nvSpPr>
            <xdr:cNvPr id="3179" name="VarPreSelect12" hidden="1">
              <a:extLst>
                <a:ext uri="{63B3BB69-23CF-44E3-9099-C40C66FF867C}">
                  <a14:compatExt spid="_x0000_s31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15</xdr:row>
          <xdr:rowOff>19050</xdr:rowOff>
        </xdr:from>
        <xdr:to>
          <xdr:col>3</xdr:col>
          <xdr:colOff>409575</xdr:colOff>
          <xdr:row>15</xdr:row>
          <xdr:rowOff>142875</xdr:rowOff>
        </xdr:to>
        <xdr:sp macro="" textlink="">
          <xdr:nvSpPr>
            <xdr:cNvPr id="3180" name="VarPreSelect13" hidden="1">
              <a:extLst>
                <a:ext uri="{63B3BB69-23CF-44E3-9099-C40C66FF867C}">
                  <a14:compatExt spid="_x0000_s31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16</xdr:row>
          <xdr:rowOff>19050</xdr:rowOff>
        </xdr:from>
        <xdr:to>
          <xdr:col>3</xdr:col>
          <xdr:colOff>409575</xdr:colOff>
          <xdr:row>16</xdr:row>
          <xdr:rowOff>142875</xdr:rowOff>
        </xdr:to>
        <xdr:sp macro="" textlink="">
          <xdr:nvSpPr>
            <xdr:cNvPr id="3181" name="VarPreSelect14" hidden="1">
              <a:extLst>
                <a:ext uri="{63B3BB69-23CF-44E3-9099-C40C66FF867C}">
                  <a14:compatExt spid="_x0000_s31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17</xdr:row>
          <xdr:rowOff>19050</xdr:rowOff>
        </xdr:from>
        <xdr:to>
          <xdr:col>3</xdr:col>
          <xdr:colOff>409575</xdr:colOff>
          <xdr:row>17</xdr:row>
          <xdr:rowOff>142875</xdr:rowOff>
        </xdr:to>
        <xdr:sp macro="" textlink="">
          <xdr:nvSpPr>
            <xdr:cNvPr id="3182" name="VarPreSelect15" hidden="1">
              <a:extLst>
                <a:ext uri="{63B3BB69-23CF-44E3-9099-C40C66FF867C}">
                  <a14:compatExt spid="_x0000_s31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18</xdr:row>
          <xdr:rowOff>19050</xdr:rowOff>
        </xdr:from>
        <xdr:to>
          <xdr:col>3</xdr:col>
          <xdr:colOff>409575</xdr:colOff>
          <xdr:row>18</xdr:row>
          <xdr:rowOff>142875</xdr:rowOff>
        </xdr:to>
        <xdr:sp macro="" textlink="">
          <xdr:nvSpPr>
            <xdr:cNvPr id="3183" name="VarPreSelect16" hidden="1">
              <a:extLst>
                <a:ext uri="{63B3BB69-23CF-44E3-9099-C40C66FF867C}">
                  <a14:compatExt spid="_x0000_s31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19</xdr:row>
          <xdr:rowOff>19050</xdr:rowOff>
        </xdr:from>
        <xdr:to>
          <xdr:col>3</xdr:col>
          <xdr:colOff>409575</xdr:colOff>
          <xdr:row>19</xdr:row>
          <xdr:rowOff>142875</xdr:rowOff>
        </xdr:to>
        <xdr:sp macro="" textlink="">
          <xdr:nvSpPr>
            <xdr:cNvPr id="3184" name="VarPreSelect17" hidden="1">
              <a:extLst>
                <a:ext uri="{63B3BB69-23CF-44E3-9099-C40C66FF867C}">
                  <a14:compatExt spid="_x0000_s31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20</xdr:row>
          <xdr:rowOff>19050</xdr:rowOff>
        </xdr:from>
        <xdr:to>
          <xdr:col>3</xdr:col>
          <xdr:colOff>409575</xdr:colOff>
          <xdr:row>20</xdr:row>
          <xdr:rowOff>142875</xdr:rowOff>
        </xdr:to>
        <xdr:sp macro="" textlink="">
          <xdr:nvSpPr>
            <xdr:cNvPr id="3185" name="VarPreSelect18" hidden="1">
              <a:extLst>
                <a:ext uri="{63B3BB69-23CF-44E3-9099-C40C66FF867C}">
                  <a14:compatExt spid="_x0000_s31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21</xdr:row>
          <xdr:rowOff>19050</xdr:rowOff>
        </xdr:from>
        <xdr:to>
          <xdr:col>3</xdr:col>
          <xdr:colOff>409575</xdr:colOff>
          <xdr:row>21</xdr:row>
          <xdr:rowOff>142875</xdr:rowOff>
        </xdr:to>
        <xdr:sp macro="" textlink="">
          <xdr:nvSpPr>
            <xdr:cNvPr id="3186" name="VarPreSelect19" hidden="1">
              <a:extLst>
                <a:ext uri="{63B3BB69-23CF-44E3-9099-C40C66FF867C}">
                  <a14:compatExt spid="_x0000_s31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22</xdr:row>
          <xdr:rowOff>19050</xdr:rowOff>
        </xdr:from>
        <xdr:to>
          <xdr:col>3</xdr:col>
          <xdr:colOff>409575</xdr:colOff>
          <xdr:row>22</xdr:row>
          <xdr:rowOff>142875</xdr:rowOff>
        </xdr:to>
        <xdr:sp macro="" textlink="">
          <xdr:nvSpPr>
            <xdr:cNvPr id="3187" name="VarPreSelect20" hidden="1">
              <a:extLst>
                <a:ext uri="{63B3BB69-23CF-44E3-9099-C40C66FF867C}">
                  <a14:compatExt spid="_x0000_s31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23</xdr:row>
          <xdr:rowOff>19050</xdr:rowOff>
        </xdr:from>
        <xdr:to>
          <xdr:col>3</xdr:col>
          <xdr:colOff>409575</xdr:colOff>
          <xdr:row>23</xdr:row>
          <xdr:rowOff>142875</xdr:rowOff>
        </xdr:to>
        <xdr:sp macro="" textlink="">
          <xdr:nvSpPr>
            <xdr:cNvPr id="3188" name="VarPreSelect21" hidden="1">
              <a:extLst>
                <a:ext uri="{63B3BB69-23CF-44E3-9099-C40C66FF867C}">
                  <a14:compatExt spid="_x0000_s31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24</xdr:row>
          <xdr:rowOff>19050</xdr:rowOff>
        </xdr:from>
        <xdr:to>
          <xdr:col>3</xdr:col>
          <xdr:colOff>409575</xdr:colOff>
          <xdr:row>24</xdr:row>
          <xdr:rowOff>142875</xdr:rowOff>
        </xdr:to>
        <xdr:sp macro="" textlink="">
          <xdr:nvSpPr>
            <xdr:cNvPr id="3189" name="VarPreSelect22" hidden="1">
              <a:extLst>
                <a:ext uri="{63B3BB69-23CF-44E3-9099-C40C66FF867C}">
                  <a14:compatExt spid="_x0000_s31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25</xdr:row>
          <xdr:rowOff>19050</xdr:rowOff>
        </xdr:from>
        <xdr:to>
          <xdr:col>3</xdr:col>
          <xdr:colOff>409575</xdr:colOff>
          <xdr:row>25</xdr:row>
          <xdr:rowOff>142875</xdr:rowOff>
        </xdr:to>
        <xdr:sp macro="" textlink="">
          <xdr:nvSpPr>
            <xdr:cNvPr id="3190" name="VarPreSelect23" hidden="1">
              <a:extLst>
                <a:ext uri="{63B3BB69-23CF-44E3-9099-C40C66FF867C}">
                  <a14:compatExt spid="_x0000_s31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26</xdr:row>
          <xdr:rowOff>19050</xdr:rowOff>
        </xdr:from>
        <xdr:to>
          <xdr:col>3</xdr:col>
          <xdr:colOff>409575</xdr:colOff>
          <xdr:row>26</xdr:row>
          <xdr:rowOff>142875</xdr:rowOff>
        </xdr:to>
        <xdr:sp macro="" textlink="">
          <xdr:nvSpPr>
            <xdr:cNvPr id="3191" name="VarPreSelect24" hidden="1">
              <a:extLst>
                <a:ext uri="{63B3BB69-23CF-44E3-9099-C40C66FF867C}">
                  <a14:compatExt spid="_x0000_s31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27</xdr:row>
          <xdr:rowOff>19050</xdr:rowOff>
        </xdr:from>
        <xdr:to>
          <xdr:col>3</xdr:col>
          <xdr:colOff>409575</xdr:colOff>
          <xdr:row>27</xdr:row>
          <xdr:rowOff>142875</xdr:rowOff>
        </xdr:to>
        <xdr:sp macro="" textlink="">
          <xdr:nvSpPr>
            <xdr:cNvPr id="3192" name="VarPreSelect25" hidden="1">
              <a:extLst>
                <a:ext uri="{63B3BB69-23CF-44E3-9099-C40C66FF867C}">
                  <a14:compatExt spid="_x0000_s31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28</xdr:row>
          <xdr:rowOff>19050</xdr:rowOff>
        </xdr:from>
        <xdr:to>
          <xdr:col>3</xdr:col>
          <xdr:colOff>409575</xdr:colOff>
          <xdr:row>28</xdr:row>
          <xdr:rowOff>142875</xdr:rowOff>
        </xdr:to>
        <xdr:sp macro="" textlink="">
          <xdr:nvSpPr>
            <xdr:cNvPr id="3193" name="VarPreSelect26" hidden="1">
              <a:extLst>
                <a:ext uri="{63B3BB69-23CF-44E3-9099-C40C66FF867C}">
                  <a14:compatExt spid="_x0000_s31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29</xdr:row>
          <xdr:rowOff>19050</xdr:rowOff>
        </xdr:from>
        <xdr:to>
          <xdr:col>3</xdr:col>
          <xdr:colOff>409575</xdr:colOff>
          <xdr:row>29</xdr:row>
          <xdr:rowOff>142875</xdr:rowOff>
        </xdr:to>
        <xdr:sp macro="" textlink="">
          <xdr:nvSpPr>
            <xdr:cNvPr id="3194" name="VarPreSelect27" hidden="1">
              <a:extLst>
                <a:ext uri="{63B3BB69-23CF-44E3-9099-C40C66FF867C}">
                  <a14:compatExt spid="_x0000_s31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30</xdr:row>
          <xdr:rowOff>19050</xdr:rowOff>
        </xdr:from>
        <xdr:to>
          <xdr:col>3</xdr:col>
          <xdr:colOff>409575</xdr:colOff>
          <xdr:row>30</xdr:row>
          <xdr:rowOff>142875</xdr:rowOff>
        </xdr:to>
        <xdr:sp macro="" textlink="">
          <xdr:nvSpPr>
            <xdr:cNvPr id="3195" name="VarPreSelect28" hidden="1">
              <a:extLst>
                <a:ext uri="{63B3BB69-23CF-44E3-9099-C40C66FF867C}">
                  <a14:compatExt spid="_x0000_s31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31</xdr:row>
          <xdr:rowOff>19050</xdr:rowOff>
        </xdr:from>
        <xdr:to>
          <xdr:col>3</xdr:col>
          <xdr:colOff>409575</xdr:colOff>
          <xdr:row>31</xdr:row>
          <xdr:rowOff>142875</xdr:rowOff>
        </xdr:to>
        <xdr:sp macro="" textlink="">
          <xdr:nvSpPr>
            <xdr:cNvPr id="3196" name="VarPreSelect29" hidden="1">
              <a:extLst>
                <a:ext uri="{63B3BB69-23CF-44E3-9099-C40C66FF867C}">
                  <a14:compatExt spid="_x0000_s31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32</xdr:row>
          <xdr:rowOff>19050</xdr:rowOff>
        </xdr:from>
        <xdr:to>
          <xdr:col>3</xdr:col>
          <xdr:colOff>409575</xdr:colOff>
          <xdr:row>32</xdr:row>
          <xdr:rowOff>142875</xdr:rowOff>
        </xdr:to>
        <xdr:sp macro="" textlink="">
          <xdr:nvSpPr>
            <xdr:cNvPr id="3197" name="VarPreSelect30" hidden="1">
              <a:extLst>
                <a:ext uri="{63B3BB69-23CF-44E3-9099-C40C66FF867C}">
                  <a14:compatExt spid="_x0000_s31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33</xdr:row>
          <xdr:rowOff>19050</xdr:rowOff>
        </xdr:from>
        <xdr:to>
          <xdr:col>3</xdr:col>
          <xdr:colOff>409575</xdr:colOff>
          <xdr:row>33</xdr:row>
          <xdr:rowOff>142875</xdr:rowOff>
        </xdr:to>
        <xdr:sp macro="" textlink="">
          <xdr:nvSpPr>
            <xdr:cNvPr id="3198" name="VarPreSelect31" hidden="1">
              <a:extLst>
                <a:ext uri="{63B3BB69-23CF-44E3-9099-C40C66FF867C}">
                  <a14:compatExt spid="_x0000_s31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34</xdr:row>
          <xdr:rowOff>19050</xdr:rowOff>
        </xdr:from>
        <xdr:to>
          <xdr:col>3</xdr:col>
          <xdr:colOff>409575</xdr:colOff>
          <xdr:row>34</xdr:row>
          <xdr:rowOff>142875</xdr:rowOff>
        </xdr:to>
        <xdr:sp macro="" textlink="">
          <xdr:nvSpPr>
            <xdr:cNvPr id="3199" name="VarPreSelect32" hidden="1">
              <a:extLst>
                <a:ext uri="{63B3BB69-23CF-44E3-9099-C40C66FF867C}">
                  <a14:compatExt spid="_x0000_s31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35</xdr:row>
          <xdr:rowOff>19050</xdr:rowOff>
        </xdr:from>
        <xdr:to>
          <xdr:col>3</xdr:col>
          <xdr:colOff>409575</xdr:colOff>
          <xdr:row>35</xdr:row>
          <xdr:rowOff>142875</xdr:rowOff>
        </xdr:to>
        <xdr:sp macro="" textlink="">
          <xdr:nvSpPr>
            <xdr:cNvPr id="3200" name="VarPreSelect33" hidden="1">
              <a:extLst>
                <a:ext uri="{63B3BB69-23CF-44E3-9099-C40C66FF867C}">
                  <a14:compatExt spid="_x0000_s32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36</xdr:row>
          <xdr:rowOff>19050</xdr:rowOff>
        </xdr:from>
        <xdr:to>
          <xdr:col>3</xdr:col>
          <xdr:colOff>409575</xdr:colOff>
          <xdr:row>36</xdr:row>
          <xdr:rowOff>142875</xdr:rowOff>
        </xdr:to>
        <xdr:sp macro="" textlink="">
          <xdr:nvSpPr>
            <xdr:cNvPr id="3201" name="VarPreSelect34" hidden="1">
              <a:extLst>
                <a:ext uri="{63B3BB69-23CF-44E3-9099-C40C66FF867C}">
                  <a14:compatExt spid="_x0000_s32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37</xdr:row>
          <xdr:rowOff>19050</xdr:rowOff>
        </xdr:from>
        <xdr:to>
          <xdr:col>3</xdr:col>
          <xdr:colOff>409575</xdr:colOff>
          <xdr:row>37</xdr:row>
          <xdr:rowOff>142875</xdr:rowOff>
        </xdr:to>
        <xdr:sp macro="" textlink="">
          <xdr:nvSpPr>
            <xdr:cNvPr id="3202" name="VarPreSelect35" hidden="1">
              <a:extLst>
                <a:ext uri="{63B3BB69-23CF-44E3-9099-C40C66FF867C}">
                  <a14:compatExt spid="_x0000_s32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38</xdr:row>
          <xdr:rowOff>19050</xdr:rowOff>
        </xdr:from>
        <xdr:to>
          <xdr:col>3</xdr:col>
          <xdr:colOff>409575</xdr:colOff>
          <xdr:row>38</xdr:row>
          <xdr:rowOff>142875</xdr:rowOff>
        </xdr:to>
        <xdr:sp macro="" textlink="">
          <xdr:nvSpPr>
            <xdr:cNvPr id="3203" name="VarPreSelect36" hidden="1">
              <a:extLst>
                <a:ext uri="{63B3BB69-23CF-44E3-9099-C40C66FF867C}">
                  <a14:compatExt spid="_x0000_s32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39</xdr:row>
          <xdr:rowOff>19050</xdr:rowOff>
        </xdr:from>
        <xdr:to>
          <xdr:col>3</xdr:col>
          <xdr:colOff>409575</xdr:colOff>
          <xdr:row>39</xdr:row>
          <xdr:rowOff>142875</xdr:rowOff>
        </xdr:to>
        <xdr:sp macro="" textlink="">
          <xdr:nvSpPr>
            <xdr:cNvPr id="3204" name="VarPreSelect37" hidden="1">
              <a:extLst>
                <a:ext uri="{63B3BB69-23CF-44E3-9099-C40C66FF867C}">
                  <a14:compatExt spid="_x0000_s32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40</xdr:row>
          <xdr:rowOff>19050</xdr:rowOff>
        </xdr:from>
        <xdr:to>
          <xdr:col>3</xdr:col>
          <xdr:colOff>409575</xdr:colOff>
          <xdr:row>40</xdr:row>
          <xdr:rowOff>142875</xdr:rowOff>
        </xdr:to>
        <xdr:sp macro="" textlink="">
          <xdr:nvSpPr>
            <xdr:cNvPr id="3205" name="VarPreSelect38" hidden="1">
              <a:extLst>
                <a:ext uri="{63B3BB69-23CF-44E3-9099-C40C66FF867C}">
                  <a14:compatExt spid="_x0000_s32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41</xdr:row>
          <xdr:rowOff>19050</xdr:rowOff>
        </xdr:from>
        <xdr:to>
          <xdr:col>3</xdr:col>
          <xdr:colOff>409575</xdr:colOff>
          <xdr:row>41</xdr:row>
          <xdr:rowOff>142875</xdr:rowOff>
        </xdr:to>
        <xdr:sp macro="" textlink="">
          <xdr:nvSpPr>
            <xdr:cNvPr id="3206" name="VarPreSelect39" hidden="1">
              <a:extLst>
                <a:ext uri="{63B3BB69-23CF-44E3-9099-C40C66FF867C}">
                  <a14:compatExt spid="_x0000_s32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42</xdr:row>
          <xdr:rowOff>19050</xdr:rowOff>
        </xdr:from>
        <xdr:to>
          <xdr:col>3</xdr:col>
          <xdr:colOff>409575</xdr:colOff>
          <xdr:row>42</xdr:row>
          <xdr:rowOff>142875</xdr:rowOff>
        </xdr:to>
        <xdr:sp macro="" textlink="">
          <xdr:nvSpPr>
            <xdr:cNvPr id="3207" name="VarPreSelect40" hidden="1">
              <a:extLst>
                <a:ext uri="{63B3BB69-23CF-44E3-9099-C40C66FF867C}">
                  <a14:compatExt spid="_x0000_s32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43</xdr:row>
          <xdr:rowOff>19050</xdr:rowOff>
        </xdr:from>
        <xdr:to>
          <xdr:col>3</xdr:col>
          <xdr:colOff>409575</xdr:colOff>
          <xdr:row>43</xdr:row>
          <xdr:rowOff>142875</xdr:rowOff>
        </xdr:to>
        <xdr:sp macro="" textlink="">
          <xdr:nvSpPr>
            <xdr:cNvPr id="3208" name="VarPreSelect41" hidden="1">
              <a:extLst>
                <a:ext uri="{63B3BB69-23CF-44E3-9099-C40C66FF867C}">
                  <a14:compatExt spid="_x0000_s32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44</xdr:row>
          <xdr:rowOff>19050</xdr:rowOff>
        </xdr:from>
        <xdr:to>
          <xdr:col>3</xdr:col>
          <xdr:colOff>409575</xdr:colOff>
          <xdr:row>44</xdr:row>
          <xdr:rowOff>142875</xdr:rowOff>
        </xdr:to>
        <xdr:sp macro="" textlink="">
          <xdr:nvSpPr>
            <xdr:cNvPr id="3209" name="VarPreSelect42" hidden="1">
              <a:extLst>
                <a:ext uri="{63B3BB69-23CF-44E3-9099-C40C66FF867C}">
                  <a14:compatExt spid="_x0000_s32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45</xdr:row>
          <xdr:rowOff>19050</xdr:rowOff>
        </xdr:from>
        <xdr:to>
          <xdr:col>3</xdr:col>
          <xdr:colOff>409575</xdr:colOff>
          <xdr:row>45</xdr:row>
          <xdr:rowOff>142875</xdr:rowOff>
        </xdr:to>
        <xdr:sp macro="" textlink="">
          <xdr:nvSpPr>
            <xdr:cNvPr id="3210" name="VarPreSelect43" hidden="1">
              <a:extLst>
                <a:ext uri="{63B3BB69-23CF-44E3-9099-C40C66FF867C}">
                  <a14:compatExt spid="_x0000_s32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46</xdr:row>
          <xdr:rowOff>19050</xdr:rowOff>
        </xdr:from>
        <xdr:to>
          <xdr:col>3</xdr:col>
          <xdr:colOff>409575</xdr:colOff>
          <xdr:row>46</xdr:row>
          <xdr:rowOff>142875</xdr:rowOff>
        </xdr:to>
        <xdr:sp macro="" textlink="">
          <xdr:nvSpPr>
            <xdr:cNvPr id="3211" name="VarPreSelect44" hidden="1">
              <a:extLst>
                <a:ext uri="{63B3BB69-23CF-44E3-9099-C40C66FF867C}">
                  <a14:compatExt spid="_x0000_s32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47</xdr:row>
          <xdr:rowOff>19050</xdr:rowOff>
        </xdr:from>
        <xdr:to>
          <xdr:col>3</xdr:col>
          <xdr:colOff>409575</xdr:colOff>
          <xdr:row>47</xdr:row>
          <xdr:rowOff>142875</xdr:rowOff>
        </xdr:to>
        <xdr:sp macro="" textlink="">
          <xdr:nvSpPr>
            <xdr:cNvPr id="3212" name="VarPreSelect45" hidden="1">
              <a:extLst>
                <a:ext uri="{63B3BB69-23CF-44E3-9099-C40C66FF867C}">
                  <a14:compatExt spid="_x0000_s32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48</xdr:row>
          <xdr:rowOff>19050</xdr:rowOff>
        </xdr:from>
        <xdr:to>
          <xdr:col>3</xdr:col>
          <xdr:colOff>409575</xdr:colOff>
          <xdr:row>48</xdr:row>
          <xdr:rowOff>142875</xdr:rowOff>
        </xdr:to>
        <xdr:sp macro="" textlink="">
          <xdr:nvSpPr>
            <xdr:cNvPr id="3213" name="VarPreSelect46" hidden="1">
              <a:extLst>
                <a:ext uri="{63B3BB69-23CF-44E3-9099-C40C66FF867C}">
                  <a14:compatExt spid="_x0000_s32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49</xdr:row>
          <xdr:rowOff>19050</xdr:rowOff>
        </xdr:from>
        <xdr:to>
          <xdr:col>3</xdr:col>
          <xdr:colOff>409575</xdr:colOff>
          <xdr:row>49</xdr:row>
          <xdr:rowOff>142875</xdr:rowOff>
        </xdr:to>
        <xdr:sp macro="" textlink="">
          <xdr:nvSpPr>
            <xdr:cNvPr id="3214" name="VarPreSelect47" hidden="1">
              <a:extLst>
                <a:ext uri="{63B3BB69-23CF-44E3-9099-C40C66FF867C}">
                  <a14:compatExt spid="_x0000_s32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50</xdr:row>
          <xdr:rowOff>19050</xdr:rowOff>
        </xdr:from>
        <xdr:to>
          <xdr:col>3</xdr:col>
          <xdr:colOff>409575</xdr:colOff>
          <xdr:row>50</xdr:row>
          <xdr:rowOff>142875</xdr:rowOff>
        </xdr:to>
        <xdr:sp macro="" textlink="">
          <xdr:nvSpPr>
            <xdr:cNvPr id="3215" name="VarPreSelect48" hidden="1">
              <a:extLst>
                <a:ext uri="{63B3BB69-23CF-44E3-9099-C40C66FF867C}">
                  <a14:compatExt spid="_x0000_s32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51</xdr:row>
          <xdr:rowOff>19050</xdr:rowOff>
        </xdr:from>
        <xdr:to>
          <xdr:col>3</xdr:col>
          <xdr:colOff>409575</xdr:colOff>
          <xdr:row>51</xdr:row>
          <xdr:rowOff>142875</xdr:rowOff>
        </xdr:to>
        <xdr:sp macro="" textlink="">
          <xdr:nvSpPr>
            <xdr:cNvPr id="3216" name="VarPreSelect49" hidden="1">
              <a:extLst>
                <a:ext uri="{63B3BB69-23CF-44E3-9099-C40C66FF867C}">
                  <a14:compatExt spid="_x0000_s32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52</xdr:row>
          <xdr:rowOff>19050</xdr:rowOff>
        </xdr:from>
        <xdr:to>
          <xdr:col>3</xdr:col>
          <xdr:colOff>409575</xdr:colOff>
          <xdr:row>52</xdr:row>
          <xdr:rowOff>142875</xdr:rowOff>
        </xdr:to>
        <xdr:sp macro="" textlink="">
          <xdr:nvSpPr>
            <xdr:cNvPr id="3217" name="VarPreSelect50" hidden="1">
              <a:extLst>
                <a:ext uri="{63B3BB69-23CF-44E3-9099-C40C66FF867C}">
                  <a14:compatExt spid="_x0000_s32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53</xdr:row>
          <xdr:rowOff>19050</xdr:rowOff>
        </xdr:from>
        <xdr:to>
          <xdr:col>3</xdr:col>
          <xdr:colOff>409575</xdr:colOff>
          <xdr:row>53</xdr:row>
          <xdr:rowOff>142875</xdr:rowOff>
        </xdr:to>
        <xdr:sp macro="" textlink="">
          <xdr:nvSpPr>
            <xdr:cNvPr id="3218" name="VarPreSelect51" hidden="1">
              <a:extLst>
                <a:ext uri="{63B3BB69-23CF-44E3-9099-C40C66FF867C}">
                  <a14:compatExt spid="_x0000_s32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54</xdr:row>
          <xdr:rowOff>19050</xdr:rowOff>
        </xdr:from>
        <xdr:to>
          <xdr:col>3</xdr:col>
          <xdr:colOff>409575</xdr:colOff>
          <xdr:row>54</xdr:row>
          <xdr:rowOff>142875</xdr:rowOff>
        </xdr:to>
        <xdr:sp macro="" textlink="">
          <xdr:nvSpPr>
            <xdr:cNvPr id="3219" name="VarPreSelect52" hidden="1">
              <a:extLst>
                <a:ext uri="{63B3BB69-23CF-44E3-9099-C40C66FF867C}">
                  <a14:compatExt spid="_x0000_s32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55</xdr:row>
          <xdr:rowOff>19050</xdr:rowOff>
        </xdr:from>
        <xdr:to>
          <xdr:col>3</xdr:col>
          <xdr:colOff>409575</xdr:colOff>
          <xdr:row>55</xdr:row>
          <xdr:rowOff>142875</xdr:rowOff>
        </xdr:to>
        <xdr:sp macro="" textlink="">
          <xdr:nvSpPr>
            <xdr:cNvPr id="3220" name="VarPreSelect53" hidden="1">
              <a:extLst>
                <a:ext uri="{63B3BB69-23CF-44E3-9099-C40C66FF867C}">
                  <a14:compatExt spid="_x0000_s32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56</xdr:row>
          <xdr:rowOff>19050</xdr:rowOff>
        </xdr:from>
        <xdr:to>
          <xdr:col>3</xdr:col>
          <xdr:colOff>409575</xdr:colOff>
          <xdr:row>56</xdr:row>
          <xdr:rowOff>142875</xdr:rowOff>
        </xdr:to>
        <xdr:sp macro="" textlink="">
          <xdr:nvSpPr>
            <xdr:cNvPr id="3221" name="VarPreSelect54" hidden="1">
              <a:extLst>
                <a:ext uri="{63B3BB69-23CF-44E3-9099-C40C66FF867C}">
                  <a14:compatExt spid="_x0000_s32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57</xdr:row>
          <xdr:rowOff>19050</xdr:rowOff>
        </xdr:from>
        <xdr:to>
          <xdr:col>3</xdr:col>
          <xdr:colOff>409575</xdr:colOff>
          <xdr:row>57</xdr:row>
          <xdr:rowOff>142875</xdr:rowOff>
        </xdr:to>
        <xdr:sp macro="" textlink="">
          <xdr:nvSpPr>
            <xdr:cNvPr id="3222" name="VarPreSelect55" hidden="1">
              <a:extLst>
                <a:ext uri="{63B3BB69-23CF-44E3-9099-C40C66FF867C}">
                  <a14:compatExt spid="_x0000_s32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58</xdr:row>
          <xdr:rowOff>19050</xdr:rowOff>
        </xdr:from>
        <xdr:to>
          <xdr:col>3</xdr:col>
          <xdr:colOff>409575</xdr:colOff>
          <xdr:row>58</xdr:row>
          <xdr:rowOff>142875</xdr:rowOff>
        </xdr:to>
        <xdr:sp macro="" textlink="">
          <xdr:nvSpPr>
            <xdr:cNvPr id="3223" name="VarPreSelect56" hidden="1">
              <a:extLst>
                <a:ext uri="{63B3BB69-23CF-44E3-9099-C40C66FF867C}">
                  <a14:compatExt spid="_x0000_s32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59</xdr:row>
          <xdr:rowOff>19050</xdr:rowOff>
        </xdr:from>
        <xdr:to>
          <xdr:col>3</xdr:col>
          <xdr:colOff>409575</xdr:colOff>
          <xdr:row>59</xdr:row>
          <xdr:rowOff>142875</xdr:rowOff>
        </xdr:to>
        <xdr:sp macro="" textlink="">
          <xdr:nvSpPr>
            <xdr:cNvPr id="3224" name="VarPreSelect57" hidden="1">
              <a:extLst>
                <a:ext uri="{63B3BB69-23CF-44E3-9099-C40C66FF867C}">
                  <a14:compatExt spid="_x0000_s32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60</xdr:row>
          <xdr:rowOff>19050</xdr:rowOff>
        </xdr:from>
        <xdr:to>
          <xdr:col>3</xdr:col>
          <xdr:colOff>409575</xdr:colOff>
          <xdr:row>60</xdr:row>
          <xdr:rowOff>142875</xdr:rowOff>
        </xdr:to>
        <xdr:sp macro="" textlink="">
          <xdr:nvSpPr>
            <xdr:cNvPr id="3225" name="VarPreSelect58" hidden="1">
              <a:extLst>
                <a:ext uri="{63B3BB69-23CF-44E3-9099-C40C66FF867C}">
                  <a14:compatExt spid="_x0000_s32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61</xdr:row>
          <xdr:rowOff>19050</xdr:rowOff>
        </xdr:from>
        <xdr:to>
          <xdr:col>3</xdr:col>
          <xdr:colOff>409575</xdr:colOff>
          <xdr:row>61</xdr:row>
          <xdr:rowOff>142875</xdr:rowOff>
        </xdr:to>
        <xdr:sp macro="" textlink="">
          <xdr:nvSpPr>
            <xdr:cNvPr id="3226" name="VarPreSelect59" hidden="1">
              <a:extLst>
                <a:ext uri="{63B3BB69-23CF-44E3-9099-C40C66FF867C}">
                  <a14:compatExt spid="_x0000_s32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62</xdr:row>
          <xdr:rowOff>19050</xdr:rowOff>
        </xdr:from>
        <xdr:to>
          <xdr:col>3</xdr:col>
          <xdr:colOff>409575</xdr:colOff>
          <xdr:row>62</xdr:row>
          <xdr:rowOff>142875</xdr:rowOff>
        </xdr:to>
        <xdr:sp macro="" textlink="">
          <xdr:nvSpPr>
            <xdr:cNvPr id="3227" name="VarPreSelect60" hidden="1">
              <a:extLst>
                <a:ext uri="{63B3BB69-23CF-44E3-9099-C40C66FF867C}">
                  <a14:compatExt spid="_x0000_s32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63</xdr:row>
          <xdr:rowOff>19050</xdr:rowOff>
        </xdr:from>
        <xdr:to>
          <xdr:col>3</xdr:col>
          <xdr:colOff>409575</xdr:colOff>
          <xdr:row>63</xdr:row>
          <xdr:rowOff>142875</xdr:rowOff>
        </xdr:to>
        <xdr:sp macro="" textlink="">
          <xdr:nvSpPr>
            <xdr:cNvPr id="3228" name="VarPreSelect61" hidden="1">
              <a:extLst>
                <a:ext uri="{63B3BB69-23CF-44E3-9099-C40C66FF867C}">
                  <a14:compatExt spid="_x0000_s32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64</xdr:row>
          <xdr:rowOff>19050</xdr:rowOff>
        </xdr:from>
        <xdr:to>
          <xdr:col>3</xdr:col>
          <xdr:colOff>409575</xdr:colOff>
          <xdr:row>64</xdr:row>
          <xdr:rowOff>142875</xdr:rowOff>
        </xdr:to>
        <xdr:sp macro="" textlink="">
          <xdr:nvSpPr>
            <xdr:cNvPr id="3229" name="VarPreSelect62" hidden="1">
              <a:extLst>
                <a:ext uri="{63B3BB69-23CF-44E3-9099-C40C66FF867C}">
                  <a14:compatExt spid="_x0000_s32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65</xdr:row>
          <xdr:rowOff>19050</xdr:rowOff>
        </xdr:from>
        <xdr:to>
          <xdr:col>3</xdr:col>
          <xdr:colOff>409575</xdr:colOff>
          <xdr:row>65</xdr:row>
          <xdr:rowOff>142875</xdr:rowOff>
        </xdr:to>
        <xdr:sp macro="" textlink="">
          <xdr:nvSpPr>
            <xdr:cNvPr id="3230" name="VarPreSelect63" hidden="1">
              <a:extLst>
                <a:ext uri="{63B3BB69-23CF-44E3-9099-C40C66FF867C}">
                  <a14:compatExt spid="_x0000_s32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66</xdr:row>
          <xdr:rowOff>19050</xdr:rowOff>
        </xdr:from>
        <xdr:to>
          <xdr:col>3</xdr:col>
          <xdr:colOff>409575</xdr:colOff>
          <xdr:row>66</xdr:row>
          <xdr:rowOff>142875</xdr:rowOff>
        </xdr:to>
        <xdr:sp macro="" textlink="">
          <xdr:nvSpPr>
            <xdr:cNvPr id="3231" name="VarPreSelect64" hidden="1">
              <a:extLst>
                <a:ext uri="{63B3BB69-23CF-44E3-9099-C40C66FF867C}">
                  <a14:compatExt spid="_x0000_s32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67</xdr:row>
          <xdr:rowOff>19050</xdr:rowOff>
        </xdr:from>
        <xdr:to>
          <xdr:col>3</xdr:col>
          <xdr:colOff>409575</xdr:colOff>
          <xdr:row>67</xdr:row>
          <xdr:rowOff>142875</xdr:rowOff>
        </xdr:to>
        <xdr:sp macro="" textlink="">
          <xdr:nvSpPr>
            <xdr:cNvPr id="3232" name="VarPreSelect65" hidden="1">
              <a:extLst>
                <a:ext uri="{63B3BB69-23CF-44E3-9099-C40C66FF867C}">
                  <a14:compatExt spid="_x0000_s32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68</xdr:row>
          <xdr:rowOff>19050</xdr:rowOff>
        </xdr:from>
        <xdr:to>
          <xdr:col>3</xdr:col>
          <xdr:colOff>409575</xdr:colOff>
          <xdr:row>68</xdr:row>
          <xdr:rowOff>142875</xdr:rowOff>
        </xdr:to>
        <xdr:sp macro="" textlink="">
          <xdr:nvSpPr>
            <xdr:cNvPr id="3233" name="VarPreSelect66" hidden="1">
              <a:extLst>
                <a:ext uri="{63B3BB69-23CF-44E3-9099-C40C66FF867C}">
                  <a14:compatExt spid="_x0000_s32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69</xdr:row>
          <xdr:rowOff>19050</xdr:rowOff>
        </xdr:from>
        <xdr:to>
          <xdr:col>3</xdr:col>
          <xdr:colOff>409575</xdr:colOff>
          <xdr:row>69</xdr:row>
          <xdr:rowOff>142875</xdr:rowOff>
        </xdr:to>
        <xdr:sp macro="" textlink="">
          <xdr:nvSpPr>
            <xdr:cNvPr id="3234" name="VarPreSelect67" hidden="1">
              <a:extLst>
                <a:ext uri="{63B3BB69-23CF-44E3-9099-C40C66FF867C}">
                  <a14:compatExt spid="_x0000_s32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70</xdr:row>
          <xdr:rowOff>19050</xdr:rowOff>
        </xdr:from>
        <xdr:to>
          <xdr:col>3</xdr:col>
          <xdr:colOff>409575</xdr:colOff>
          <xdr:row>70</xdr:row>
          <xdr:rowOff>142875</xdr:rowOff>
        </xdr:to>
        <xdr:sp macro="" textlink="">
          <xdr:nvSpPr>
            <xdr:cNvPr id="3235" name="VarPreSelect68" hidden="1">
              <a:extLst>
                <a:ext uri="{63B3BB69-23CF-44E3-9099-C40C66FF867C}">
                  <a14:compatExt spid="_x0000_s32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71</xdr:row>
          <xdr:rowOff>19050</xdr:rowOff>
        </xdr:from>
        <xdr:to>
          <xdr:col>3</xdr:col>
          <xdr:colOff>409575</xdr:colOff>
          <xdr:row>71</xdr:row>
          <xdr:rowOff>142875</xdr:rowOff>
        </xdr:to>
        <xdr:sp macro="" textlink="">
          <xdr:nvSpPr>
            <xdr:cNvPr id="3236" name="VarPreSelect69" hidden="1">
              <a:extLst>
                <a:ext uri="{63B3BB69-23CF-44E3-9099-C40C66FF867C}">
                  <a14:compatExt spid="_x0000_s32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72</xdr:row>
          <xdr:rowOff>19050</xdr:rowOff>
        </xdr:from>
        <xdr:to>
          <xdr:col>3</xdr:col>
          <xdr:colOff>409575</xdr:colOff>
          <xdr:row>72</xdr:row>
          <xdr:rowOff>142875</xdr:rowOff>
        </xdr:to>
        <xdr:sp macro="" textlink="">
          <xdr:nvSpPr>
            <xdr:cNvPr id="3237" name="VarPreSelect70" hidden="1">
              <a:extLst>
                <a:ext uri="{63B3BB69-23CF-44E3-9099-C40C66FF867C}">
                  <a14:compatExt spid="_x0000_s32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73</xdr:row>
          <xdr:rowOff>19050</xdr:rowOff>
        </xdr:from>
        <xdr:to>
          <xdr:col>3</xdr:col>
          <xdr:colOff>409575</xdr:colOff>
          <xdr:row>73</xdr:row>
          <xdr:rowOff>142875</xdr:rowOff>
        </xdr:to>
        <xdr:sp macro="" textlink="">
          <xdr:nvSpPr>
            <xdr:cNvPr id="3238" name="VarPreSelect71" hidden="1">
              <a:extLst>
                <a:ext uri="{63B3BB69-23CF-44E3-9099-C40C66FF867C}">
                  <a14:compatExt spid="_x0000_s32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74</xdr:row>
          <xdr:rowOff>19050</xdr:rowOff>
        </xdr:from>
        <xdr:to>
          <xdr:col>3</xdr:col>
          <xdr:colOff>409575</xdr:colOff>
          <xdr:row>74</xdr:row>
          <xdr:rowOff>142875</xdr:rowOff>
        </xdr:to>
        <xdr:sp macro="" textlink="">
          <xdr:nvSpPr>
            <xdr:cNvPr id="3239" name="VarPreSelect72" hidden="1">
              <a:extLst>
                <a:ext uri="{63B3BB69-23CF-44E3-9099-C40C66FF867C}">
                  <a14:compatExt spid="_x0000_s32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75</xdr:row>
          <xdr:rowOff>19050</xdr:rowOff>
        </xdr:from>
        <xdr:to>
          <xdr:col>3</xdr:col>
          <xdr:colOff>409575</xdr:colOff>
          <xdr:row>75</xdr:row>
          <xdr:rowOff>142875</xdr:rowOff>
        </xdr:to>
        <xdr:sp macro="" textlink="">
          <xdr:nvSpPr>
            <xdr:cNvPr id="3240" name="VarPreSelect73" hidden="1">
              <a:extLst>
                <a:ext uri="{63B3BB69-23CF-44E3-9099-C40C66FF867C}">
                  <a14:compatExt spid="_x0000_s32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76</xdr:row>
          <xdr:rowOff>19050</xdr:rowOff>
        </xdr:from>
        <xdr:to>
          <xdr:col>3</xdr:col>
          <xdr:colOff>409575</xdr:colOff>
          <xdr:row>76</xdr:row>
          <xdr:rowOff>142875</xdr:rowOff>
        </xdr:to>
        <xdr:sp macro="" textlink="">
          <xdr:nvSpPr>
            <xdr:cNvPr id="3241" name="VarPreSelect74" hidden="1">
              <a:extLst>
                <a:ext uri="{63B3BB69-23CF-44E3-9099-C40C66FF867C}">
                  <a14:compatExt spid="_x0000_s32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77</xdr:row>
          <xdr:rowOff>19050</xdr:rowOff>
        </xdr:from>
        <xdr:to>
          <xdr:col>3</xdr:col>
          <xdr:colOff>409575</xdr:colOff>
          <xdr:row>77</xdr:row>
          <xdr:rowOff>142875</xdr:rowOff>
        </xdr:to>
        <xdr:sp macro="" textlink="">
          <xdr:nvSpPr>
            <xdr:cNvPr id="3242" name="VarPreSelect75" hidden="1">
              <a:extLst>
                <a:ext uri="{63B3BB69-23CF-44E3-9099-C40C66FF867C}">
                  <a14:compatExt spid="_x0000_s32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78</xdr:row>
          <xdr:rowOff>19050</xdr:rowOff>
        </xdr:from>
        <xdr:to>
          <xdr:col>3</xdr:col>
          <xdr:colOff>409575</xdr:colOff>
          <xdr:row>78</xdr:row>
          <xdr:rowOff>142875</xdr:rowOff>
        </xdr:to>
        <xdr:sp macro="" textlink="">
          <xdr:nvSpPr>
            <xdr:cNvPr id="3243" name="VarPreSelect76" hidden="1">
              <a:extLst>
                <a:ext uri="{63B3BB69-23CF-44E3-9099-C40C66FF867C}">
                  <a14:compatExt spid="_x0000_s32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79</xdr:row>
          <xdr:rowOff>19050</xdr:rowOff>
        </xdr:from>
        <xdr:to>
          <xdr:col>3</xdr:col>
          <xdr:colOff>409575</xdr:colOff>
          <xdr:row>79</xdr:row>
          <xdr:rowOff>142875</xdr:rowOff>
        </xdr:to>
        <xdr:sp macro="" textlink="">
          <xdr:nvSpPr>
            <xdr:cNvPr id="3244" name="VarPreSelect77" hidden="1">
              <a:extLst>
                <a:ext uri="{63B3BB69-23CF-44E3-9099-C40C66FF867C}">
                  <a14:compatExt spid="_x0000_s32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80</xdr:row>
          <xdr:rowOff>19050</xdr:rowOff>
        </xdr:from>
        <xdr:to>
          <xdr:col>3</xdr:col>
          <xdr:colOff>409575</xdr:colOff>
          <xdr:row>80</xdr:row>
          <xdr:rowOff>142875</xdr:rowOff>
        </xdr:to>
        <xdr:sp macro="" textlink="">
          <xdr:nvSpPr>
            <xdr:cNvPr id="3245" name="VarPreSelect78" hidden="1">
              <a:extLst>
                <a:ext uri="{63B3BB69-23CF-44E3-9099-C40C66FF867C}">
                  <a14:compatExt spid="_x0000_s32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81</xdr:row>
          <xdr:rowOff>19050</xdr:rowOff>
        </xdr:from>
        <xdr:to>
          <xdr:col>3</xdr:col>
          <xdr:colOff>409575</xdr:colOff>
          <xdr:row>81</xdr:row>
          <xdr:rowOff>142875</xdr:rowOff>
        </xdr:to>
        <xdr:sp macro="" textlink="">
          <xdr:nvSpPr>
            <xdr:cNvPr id="3246" name="VarPreSelect79" hidden="1">
              <a:extLst>
                <a:ext uri="{63B3BB69-23CF-44E3-9099-C40C66FF867C}">
                  <a14:compatExt spid="_x0000_s32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82</xdr:row>
          <xdr:rowOff>19050</xdr:rowOff>
        </xdr:from>
        <xdr:to>
          <xdr:col>3</xdr:col>
          <xdr:colOff>409575</xdr:colOff>
          <xdr:row>82</xdr:row>
          <xdr:rowOff>142875</xdr:rowOff>
        </xdr:to>
        <xdr:sp macro="" textlink="">
          <xdr:nvSpPr>
            <xdr:cNvPr id="3247" name="VarPreSelect80" hidden="1">
              <a:extLst>
                <a:ext uri="{63B3BB69-23CF-44E3-9099-C40C66FF867C}">
                  <a14:compatExt spid="_x0000_s32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83</xdr:row>
          <xdr:rowOff>19050</xdr:rowOff>
        </xdr:from>
        <xdr:to>
          <xdr:col>3</xdr:col>
          <xdr:colOff>409575</xdr:colOff>
          <xdr:row>83</xdr:row>
          <xdr:rowOff>142875</xdr:rowOff>
        </xdr:to>
        <xdr:sp macro="" textlink="">
          <xdr:nvSpPr>
            <xdr:cNvPr id="3248" name="VarPreSelect81" hidden="1">
              <a:extLst>
                <a:ext uri="{63B3BB69-23CF-44E3-9099-C40C66FF867C}">
                  <a14:compatExt spid="_x0000_s32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84</xdr:row>
          <xdr:rowOff>19050</xdr:rowOff>
        </xdr:from>
        <xdr:to>
          <xdr:col>3</xdr:col>
          <xdr:colOff>409575</xdr:colOff>
          <xdr:row>84</xdr:row>
          <xdr:rowOff>142875</xdr:rowOff>
        </xdr:to>
        <xdr:sp macro="" textlink="">
          <xdr:nvSpPr>
            <xdr:cNvPr id="3249" name="VarPreSelect82" hidden="1">
              <a:extLst>
                <a:ext uri="{63B3BB69-23CF-44E3-9099-C40C66FF867C}">
                  <a14:compatExt spid="_x0000_s32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85</xdr:row>
          <xdr:rowOff>19050</xdr:rowOff>
        </xdr:from>
        <xdr:to>
          <xdr:col>3</xdr:col>
          <xdr:colOff>409575</xdr:colOff>
          <xdr:row>85</xdr:row>
          <xdr:rowOff>142875</xdr:rowOff>
        </xdr:to>
        <xdr:sp macro="" textlink="">
          <xdr:nvSpPr>
            <xdr:cNvPr id="3250" name="VarPreSelect83" hidden="1">
              <a:extLst>
                <a:ext uri="{63B3BB69-23CF-44E3-9099-C40C66FF867C}">
                  <a14:compatExt spid="_x0000_s32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86</xdr:row>
          <xdr:rowOff>19050</xdr:rowOff>
        </xdr:from>
        <xdr:to>
          <xdr:col>3</xdr:col>
          <xdr:colOff>409575</xdr:colOff>
          <xdr:row>86</xdr:row>
          <xdr:rowOff>142875</xdr:rowOff>
        </xdr:to>
        <xdr:sp macro="" textlink="">
          <xdr:nvSpPr>
            <xdr:cNvPr id="3251" name="VarPreSelect84" hidden="1">
              <a:extLst>
                <a:ext uri="{63B3BB69-23CF-44E3-9099-C40C66FF867C}">
                  <a14:compatExt spid="_x0000_s32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87</xdr:row>
          <xdr:rowOff>19050</xdr:rowOff>
        </xdr:from>
        <xdr:to>
          <xdr:col>3</xdr:col>
          <xdr:colOff>409575</xdr:colOff>
          <xdr:row>87</xdr:row>
          <xdr:rowOff>142875</xdr:rowOff>
        </xdr:to>
        <xdr:sp macro="" textlink="">
          <xdr:nvSpPr>
            <xdr:cNvPr id="3252" name="VarPreSelect85" hidden="1">
              <a:extLst>
                <a:ext uri="{63B3BB69-23CF-44E3-9099-C40C66FF867C}">
                  <a14:compatExt spid="_x0000_s32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88</xdr:row>
          <xdr:rowOff>19050</xdr:rowOff>
        </xdr:from>
        <xdr:to>
          <xdr:col>3</xdr:col>
          <xdr:colOff>409575</xdr:colOff>
          <xdr:row>88</xdr:row>
          <xdr:rowOff>142875</xdr:rowOff>
        </xdr:to>
        <xdr:sp macro="" textlink="">
          <xdr:nvSpPr>
            <xdr:cNvPr id="3253" name="VarPreSelect86" hidden="1">
              <a:extLst>
                <a:ext uri="{63B3BB69-23CF-44E3-9099-C40C66FF867C}">
                  <a14:compatExt spid="_x0000_s32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89</xdr:row>
          <xdr:rowOff>19050</xdr:rowOff>
        </xdr:from>
        <xdr:to>
          <xdr:col>3</xdr:col>
          <xdr:colOff>409575</xdr:colOff>
          <xdr:row>89</xdr:row>
          <xdr:rowOff>142875</xdr:rowOff>
        </xdr:to>
        <xdr:sp macro="" textlink="">
          <xdr:nvSpPr>
            <xdr:cNvPr id="3254" name="VarPreSelect87" hidden="1">
              <a:extLst>
                <a:ext uri="{63B3BB69-23CF-44E3-9099-C40C66FF867C}">
                  <a14:compatExt spid="_x0000_s32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90</xdr:row>
          <xdr:rowOff>19050</xdr:rowOff>
        </xdr:from>
        <xdr:to>
          <xdr:col>3</xdr:col>
          <xdr:colOff>409575</xdr:colOff>
          <xdr:row>90</xdr:row>
          <xdr:rowOff>142875</xdr:rowOff>
        </xdr:to>
        <xdr:sp macro="" textlink="">
          <xdr:nvSpPr>
            <xdr:cNvPr id="3255" name="VarPreSelect88" hidden="1">
              <a:extLst>
                <a:ext uri="{63B3BB69-23CF-44E3-9099-C40C66FF867C}">
                  <a14:compatExt spid="_x0000_s32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247650</xdr:colOff>
          <xdr:row>91</xdr:row>
          <xdr:rowOff>19050</xdr:rowOff>
        </xdr:from>
        <xdr:to>
          <xdr:col>3</xdr:col>
          <xdr:colOff>409575</xdr:colOff>
          <xdr:row>91</xdr:row>
          <xdr:rowOff>142875</xdr:rowOff>
        </xdr:to>
        <xdr:sp macro="" textlink="">
          <xdr:nvSpPr>
            <xdr:cNvPr id="3256" name="VarPreSelect89" hidden="1">
              <a:extLst>
                <a:ext uri="{63B3BB69-23CF-44E3-9099-C40C66FF867C}">
                  <a14:compatExt spid="_x0000_s32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247650</xdr:colOff>
          <xdr:row>96</xdr:row>
          <xdr:rowOff>19050</xdr:rowOff>
        </xdr:from>
        <xdr:to>
          <xdr:col>4</xdr:col>
          <xdr:colOff>409575</xdr:colOff>
          <xdr:row>96</xdr:row>
          <xdr:rowOff>142875</xdr:rowOff>
        </xdr:to>
        <xdr:sp macro="" textlink="">
          <xdr:nvSpPr>
            <xdr:cNvPr id="3257" name="MatchCORREL1" hidden="1">
              <a:extLst>
                <a:ext uri="{63B3BB69-23CF-44E3-9099-C40C66FF867C}">
                  <a14:compatExt spid="_x0000_s32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247650</xdr:colOff>
          <xdr:row>96</xdr:row>
          <xdr:rowOff>19050</xdr:rowOff>
        </xdr:from>
        <xdr:to>
          <xdr:col>5</xdr:col>
          <xdr:colOff>409575</xdr:colOff>
          <xdr:row>96</xdr:row>
          <xdr:rowOff>142875</xdr:rowOff>
        </xdr:to>
        <xdr:sp macro="" textlink="">
          <xdr:nvSpPr>
            <xdr:cNvPr id="3258" name="MatchCORREL2" hidden="1">
              <a:extLst>
                <a:ext uri="{63B3BB69-23CF-44E3-9099-C40C66FF867C}">
                  <a14:compatExt spid="_x0000_s32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247650</xdr:colOff>
          <xdr:row>96</xdr:row>
          <xdr:rowOff>19050</xdr:rowOff>
        </xdr:from>
        <xdr:to>
          <xdr:col>6</xdr:col>
          <xdr:colOff>409575</xdr:colOff>
          <xdr:row>96</xdr:row>
          <xdr:rowOff>142875</xdr:rowOff>
        </xdr:to>
        <xdr:sp macro="" textlink="">
          <xdr:nvSpPr>
            <xdr:cNvPr id="3259" name="MatchCORREL3" hidden="1">
              <a:extLst>
                <a:ext uri="{63B3BB69-23CF-44E3-9099-C40C66FF867C}">
                  <a14:compatExt spid="_x0000_s32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247650</xdr:colOff>
          <xdr:row>96</xdr:row>
          <xdr:rowOff>19050</xdr:rowOff>
        </xdr:from>
        <xdr:to>
          <xdr:col>7</xdr:col>
          <xdr:colOff>409575</xdr:colOff>
          <xdr:row>96</xdr:row>
          <xdr:rowOff>142875</xdr:rowOff>
        </xdr:to>
        <xdr:sp macro="" textlink="">
          <xdr:nvSpPr>
            <xdr:cNvPr id="3260" name="MatchCORREL4" hidden="1">
              <a:extLst>
                <a:ext uri="{63B3BB69-23CF-44E3-9099-C40C66FF867C}">
                  <a14:compatExt spid="_x0000_s32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247650</xdr:colOff>
          <xdr:row>96</xdr:row>
          <xdr:rowOff>19050</xdr:rowOff>
        </xdr:from>
        <xdr:to>
          <xdr:col>8</xdr:col>
          <xdr:colOff>409575</xdr:colOff>
          <xdr:row>96</xdr:row>
          <xdr:rowOff>142875</xdr:rowOff>
        </xdr:to>
        <xdr:sp macro="" textlink="">
          <xdr:nvSpPr>
            <xdr:cNvPr id="3261" name="MatchCORREL5" hidden="1">
              <a:extLst>
                <a:ext uri="{63B3BB69-23CF-44E3-9099-C40C66FF867C}">
                  <a14:compatExt spid="_x0000_s32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247650</xdr:colOff>
          <xdr:row>96</xdr:row>
          <xdr:rowOff>19050</xdr:rowOff>
        </xdr:from>
        <xdr:to>
          <xdr:col>9</xdr:col>
          <xdr:colOff>409575</xdr:colOff>
          <xdr:row>96</xdr:row>
          <xdr:rowOff>142875</xdr:rowOff>
        </xdr:to>
        <xdr:sp macro="" textlink="">
          <xdr:nvSpPr>
            <xdr:cNvPr id="3262" name="MatchCORREL6" hidden="1">
              <a:extLst>
                <a:ext uri="{63B3BB69-23CF-44E3-9099-C40C66FF867C}">
                  <a14:compatExt spid="_x0000_s32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247650</xdr:colOff>
          <xdr:row>96</xdr:row>
          <xdr:rowOff>19050</xdr:rowOff>
        </xdr:from>
        <xdr:to>
          <xdr:col>10</xdr:col>
          <xdr:colOff>409575</xdr:colOff>
          <xdr:row>96</xdr:row>
          <xdr:rowOff>142875</xdr:rowOff>
        </xdr:to>
        <xdr:sp macro="" textlink="">
          <xdr:nvSpPr>
            <xdr:cNvPr id="3263" name="MatchCORREL7" hidden="1">
              <a:extLst>
                <a:ext uri="{63B3BB69-23CF-44E3-9099-C40C66FF867C}">
                  <a14:compatExt spid="_x0000_s32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247650</xdr:colOff>
          <xdr:row>96</xdr:row>
          <xdr:rowOff>19050</xdr:rowOff>
        </xdr:from>
        <xdr:to>
          <xdr:col>11</xdr:col>
          <xdr:colOff>409575</xdr:colOff>
          <xdr:row>96</xdr:row>
          <xdr:rowOff>142875</xdr:rowOff>
        </xdr:to>
        <xdr:sp macro="" textlink="">
          <xdr:nvSpPr>
            <xdr:cNvPr id="3264" name="MatchCORREL8" hidden="1">
              <a:extLst>
                <a:ext uri="{63B3BB69-23CF-44E3-9099-C40C66FF867C}">
                  <a14:compatExt spid="_x0000_s32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247650</xdr:colOff>
          <xdr:row>96</xdr:row>
          <xdr:rowOff>19050</xdr:rowOff>
        </xdr:from>
        <xdr:to>
          <xdr:col>12</xdr:col>
          <xdr:colOff>409575</xdr:colOff>
          <xdr:row>96</xdr:row>
          <xdr:rowOff>142875</xdr:rowOff>
        </xdr:to>
        <xdr:sp macro="" textlink="">
          <xdr:nvSpPr>
            <xdr:cNvPr id="3265" name="MatchCORREL9" hidden="1">
              <a:extLst>
                <a:ext uri="{63B3BB69-23CF-44E3-9099-C40C66FF867C}">
                  <a14:compatExt spid="_x0000_s32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247650</xdr:colOff>
          <xdr:row>96</xdr:row>
          <xdr:rowOff>19050</xdr:rowOff>
        </xdr:from>
        <xdr:to>
          <xdr:col>13</xdr:col>
          <xdr:colOff>409575</xdr:colOff>
          <xdr:row>96</xdr:row>
          <xdr:rowOff>142875</xdr:rowOff>
        </xdr:to>
        <xdr:sp macro="" textlink="">
          <xdr:nvSpPr>
            <xdr:cNvPr id="3266" name="MatchCORREL10" hidden="1">
              <a:extLst>
                <a:ext uri="{63B3BB69-23CF-44E3-9099-C40C66FF867C}">
                  <a14:compatExt spid="_x0000_s32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247650</xdr:colOff>
          <xdr:row>96</xdr:row>
          <xdr:rowOff>19050</xdr:rowOff>
        </xdr:from>
        <xdr:to>
          <xdr:col>14</xdr:col>
          <xdr:colOff>409575</xdr:colOff>
          <xdr:row>96</xdr:row>
          <xdr:rowOff>142875</xdr:rowOff>
        </xdr:to>
        <xdr:sp macro="" textlink="">
          <xdr:nvSpPr>
            <xdr:cNvPr id="3267" name="MatchCORREL11" hidden="1">
              <a:extLst>
                <a:ext uri="{63B3BB69-23CF-44E3-9099-C40C66FF867C}">
                  <a14:compatExt spid="_x0000_s32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247650</xdr:colOff>
          <xdr:row>96</xdr:row>
          <xdr:rowOff>19050</xdr:rowOff>
        </xdr:from>
        <xdr:to>
          <xdr:col>15</xdr:col>
          <xdr:colOff>409575</xdr:colOff>
          <xdr:row>96</xdr:row>
          <xdr:rowOff>142875</xdr:rowOff>
        </xdr:to>
        <xdr:sp macro="" textlink="">
          <xdr:nvSpPr>
            <xdr:cNvPr id="3268" name="MatchCORREL12" hidden="1">
              <a:extLst>
                <a:ext uri="{63B3BB69-23CF-44E3-9099-C40C66FF867C}">
                  <a14:compatExt spid="_x0000_s32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247650</xdr:colOff>
          <xdr:row>96</xdr:row>
          <xdr:rowOff>19050</xdr:rowOff>
        </xdr:from>
        <xdr:to>
          <xdr:col>16</xdr:col>
          <xdr:colOff>409575</xdr:colOff>
          <xdr:row>96</xdr:row>
          <xdr:rowOff>142875</xdr:rowOff>
        </xdr:to>
        <xdr:sp macro="" textlink="">
          <xdr:nvSpPr>
            <xdr:cNvPr id="3269" name="MatchCORREL13" hidden="1">
              <a:extLst>
                <a:ext uri="{63B3BB69-23CF-44E3-9099-C40C66FF867C}">
                  <a14:compatExt spid="_x0000_s32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247650</xdr:colOff>
          <xdr:row>96</xdr:row>
          <xdr:rowOff>19050</xdr:rowOff>
        </xdr:from>
        <xdr:to>
          <xdr:col>17</xdr:col>
          <xdr:colOff>409575</xdr:colOff>
          <xdr:row>96</xdr:row>
          <xdr:rowOff>142875</xdr:rowOff>
        </xdr:to>
        <xdr:sp macro="" textlink="">
          <xdr:nvSpPr>
            <xdr:cNvPr id="3270" name="MatchCORREL14" hidden="1">
              <a:extLst>
                <a:ext uri="{63B3BB69-23CF-44E3-9099-C40C66FF867C}">
                  <a14:compatExt spid="_x0000_s3270"/>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control" Target="../activeX/activeX113.xml"/><Relationship Id="rId21" Type="http://schemas.openxmlformats.org/officeDocument/2006/relationships/control" Target="../activeX/activeX17.xml"/><Relationship Id="rId42" Type="http://schemas.openxmlformats.org/officeDocument/2006/relationships/control" Target="../activeX/activeX38.xml"/><Relationship Id="rId63" Type="http://schemas.openxmlformats.org/officeDocument/2006/relationships/control" Target="../activeX/activeX59.xml"/><Relationship Id="rId84" Type="http://schemas.openxmlformats.org/officeDocument/2006/relationships/control" Target="../activeX/activeX80.xml"/><Relationship Id="rId138" Type="http://schemas.openxmlformats.org/officeDocument/2006/relationships/control" Target="../activeX/activeX134.xml"/><Relationship Id="rId159" Type="http://schemas.openxmlformats.org/officeDocument/2006/relationships/control" Target="../activeX/activeX155.xml"/><Relationship Id="rId170" Type="http://schemas.openxmlformats.org/officeDocument/2006/relationships/control" Target="../activeX/activeX166.xml"/><Relationship Id="rId191" Type="http://schemas.openxmlformats.org/officeDocument/2006/relationships/control" Target="../activeX/activeX187.xml"/><Relationship Id="rId205" Type="http://schemas.openxmlformats.org/officeDocument/2006/relationships/comments" Target="../comments1.xml"/><Relationship Id="rId16" Type="http://schemas.openxmlformats.org/officeDocument/2006/relationships/control" Target="../activeX/activeX12.xml"/><Relationship Id="rId107" Type="http://schemas.openxmlformats.org/officeDocument/2006/relationships/control" Target="../activeX/activeX103.xml"/><Relationship Id="rId11" Type="http://schemas.openxmlformats.org/officeDocument/2006/relationships/control" Target="../activeX/activeX7.xml"/><Relationship Id="rId32" Type="http://schemas.openxmlformats.org/officeDocument/2006/relationships/control" Target="../activeX/activeX28.xml"/><Relationship Id="rId37" Type="http://schemas.openxmlformats.org/officeDocument/2006/relationships/control" Target="../activeX/activeX33.xml"/><Relationship Id="rId53" Type="http://schemas.openxmlformats.org/officeDocument/2006/relationships/control" Target="../activeX/activeX49.xml"/><Relationship Id="rId58" Type="http://schemas.openxmlformats.org/officeDocument/2006/relationships/control" Target="../activeX/activeX54.xml"/><Relationship Id="rId74" Type="http://schemas.openxmlformats.org/officeDocument/2006/relationships/control" Target="../activeX/activeX70.xml"/><Relationship Id="rId79" Type="http://schemas.openxmlformats.org/officeDocument/2006/relationships/control" Target="../activeX/activeX75.xml"/><Relationship Id="rId102" Type="http://schemas.openxmlformats.org/officeDocument/2006/relationships/control" Target="../activeX/activeX98.xml"/><Relationship Id="rId123" Type="http://schemas.openxmlformats.org/officeDocument/2006/relationships/control" Target="../activeX/activeX119.xml"/><Relationship Id="rId128" Type="http://schemas.openxmlformats.org/officeDocument/2006/relationships/control" Target="../activeX/activeX124.xml"/><Relationship Id="rId144" Type="http://schemas.openxmlformats.org/officeDocument/2006/relationships/control" Target="../activeX/activeX140.xml"/><Relationship Id="rId149" Type="http://schemas.openxmlformats.org/officeDocument/2006/relationships/control" Target="../activeX/activeX145.xml"/><Relationship Id="rId5" Type="http://schemas.openxmlformats.org/officeDocument/2006/relationships/image" Target="../media/image1.emf"/><Relationship Id="rId90" Type="http://schemas.openxmlformats.org/officeDocument/2006/relationships/control" Target="../activeX/activeX86.xml"/><Relationship Id="rId95" Type="http://schemas.openxmlformats.org/officeDocument/2006/relationships/control" Target="../activeX/activeX91.xml"/><Relationship Id="rId160" Type="http://schemas.openxmlformats.org/officeDocument/2006/relationships/control" Target="../activeX/activeX156.xml"/><Relationship Id="rId165" Type="http://schemas.openxmlformats.org/officeDocument/2006/relationships/control" Target="../activeX/activeX161.xml"/><Relationship Id="rId181" Type="http://schemas.openxmlformats.org/officeDocument/2006/relationships/control" Target="../activeX/activeX177.xml"/><Relationship Id="rId186" Type="http://schemas.openxmlformats.org/officeDocument/2006/relationships/control" Target="../activeX/activeX182.xml"/><Relationship Id="rId22" Type="http://schemas.openxmlformats.org/officeDocument/2006/relationships/control" Target="../activeX/activeX18.xml"/><Relationship Id="rId27" Type="http://schemas.openxmlformats.org/officeDocument/2006/relationships/control" Target="../activeX/activeX23.xml"/><Relationship Id="rId43" Type="http://schemas.openxmlformats.org/officeDocument/2006/relationships/control" Target="../activeX/activeX39.xml"/><Relationship Id="rId48" Type="http://schemas.openxmlformats.org/officeDocument/2006/relationships/control" Target="../activeX/activeX44.xml"/><Relationship Id="rId64" Type="http://schemas.openxmlformats.org/officeDocument/2006/relationships/control" Target="../activeX/activeX60.xml"/><Relationship Id="rId69" Type="http://schemas.openxmlformats.org/officeDocument/2006/relationships/control" Target="../activeX/activeX65.xml"/><Relationship Id="rId113" Type="http://schemas.openxmlformats.org/officeDocument/2006/relationships/control" Target="../activeX/activeX109.xml"/><Relationship Id="rId118" Type="http://schemas.openxmlformats.org/officeDocument/2006/relationships/control" Target="../activeX/activeX114.xml"/><Relationship Id="rId134" Type="http://schemas.openxmlformats.org/officeDocument/2006/relationships/control" Target="../activeX/activeX130.xml"/><Relationship Id="rId139" Type="http://schemas.openxmlformats.org/officeDocument/2006/relationships/control" Target="../activeX/activeX135.xml"/><Relationship Id="rId80" Type="http://schemas.openxmlformats.org/officeDocument/2006/relationships/control" Target="../activeX/activeX76.xml"/><Relationship Id="rId85" Type="http://schemas.openxmlformats.org/officeDocument/2006/relationships/control" Target="../activeX/activeX81.xml"/><Relationship Id="rId150" Type="http://schemas.openxmlformats.org/officeDocument/2006/relationships/control" Target="../activeX/activeX146.xml"/><Relationship Id="rId155" Type="http://schemas.openxmlformats.org/officeDocument/2006/relationships/control" Target="../activeX/activeX151.xml"/><Relationship Id="rId171" Type="http://schemas.openxmlformats.org/officeDocument/2006/relationships/control" Target="../activeX/activeX167.xml"/><Relationship Id="rId176" Type="http://schemas.openxmlformats.org/officeDocument/2006/relationships/control" Target="../activeX/activeX172.xml"/><Relationship Id="rId192" Type="http://schemas.openxmlformats.org/officeDocument/2006/relationships/control" Target="../activeX/activeX188.xml"/><Relationship Id="rId197" Type="http://schemas.openxmlformats.org/officeDocument/2006/relationships/control" Target="../activeX/activeX193.xml"/><Relationship Id="rId201" Type="http://schemas.openxmlformats.org/officeDocument/2006/relationships/control" Target="../activeX/activeX197.xml"/><Relationship Id="rId12" Type="http://schemas.openxmlformats.org/officeDocument/2006/relationships/control" Target="../activeX/activeX8.xml"/><Relationship Id="rId17" Type="http://schemas.openxmlformats.org/officeDocument/2006/relationships/control" Target="../activeX/activeX13.xml"/><Relationship Id="rId33" Type="http://schemas.openxmlformats.org/officeDocument/2006/relationships/control" Target="../activeX/activeX29.xml"/><Relationship Id="rId38" Type="http://schemas.openxmlformats.org/officeDocument/2006/relationships/control" Target="../activeX/activeX34.xml"/><Relationship Id="rId59" Type="http://schemas.openxmlformats.org/officeDocument/2006/relationships/control" Target="../activeX/activeX55.xml"/><Relationship Id="rId103" Type="http://schemas.openxmlformats.org/officeDocument/2006/relationships/control" Target="../activeX/activeX99.xml"/><Relationship Id="rId108" Type="http://schemas.openxmlformats.org/officeDocument/2006/relationships/control" Target="../activeX/activeX104.xml"/><Relationship Id="rId124" Type="http://schemas.openxmlformats.org/officeDocument/2006/relationships/control" Target="../activeX/activeX120.xml"/><Relationship Id="rId129" Type="http://schemas.openxmlformats.org/officeDocument/2006/relationships/control" Target="../activeX/activeX125.xml"/><Relationship Id="rId54" Type="http://schemas.openxmlformats.org/officeDocument/2006/relationships/control" Target="../activeX/activeX50.xml"/><Relationship Id="rId70" Type="http://schemas.openxmlformats.org/officeDocument/2006/relationships/control" Target="../activeX/activeX66.xml"/><Relationship Id="rId75" Type="http://schemas.openxmlformats.org/officeDocument/2006/relationships/control" Target="../activeX/activeX71.xml"/><Relationship Id="rId91" Type="http://schemas.openxmlformats.org/officeDocument/2006/relationships/control" Target="../activeX/activeX87.xml"/><Relationship Id="rId96" Type="http://schemas.openxmlformats.org/officeDocument/2006/relationships/control" Target="../activeX/activeX92.xml"/><Relationship Id="rId140" Type="http://schemas.openxmlformats.org/officeDocument/2006/relationships/control" Target="../activeX/activeX136.xml"/><Relationship Id="rId145" Type="http://schemas.openxmlformats.org/officeDocument/2006/relationships/control" Target="../activeX/activeX141.xml"/><Relationship Id="rId161" Type="http://schemas.openxmlformats.org/officeDocument/2006/relationships/control" Target="../activeX/activeX157.xml"/><Relationship Id="rId166" Type="http://schemas.openxmlformats.org/officeDocument/2006/relationships/control" Target="../activeX/activeX162.xml"/><Relationship Id="rId182" Type="http://schemas.openxmlformats.org/officeDocument/2006/relationships/control" Target="../activeX/activeX178.xml"/><Relationship Id="rId187" Type="http://schemas.openxmlformats.org/officeDocument/2006/relationships/control" Target="../activeX/activeX183.xml"/><Relationship Id="rId1" Type="http://schemas.openxmlformats.org/officeDocument/2006/relationships/printerSettings" Target="../printerSettings/printerSettings1.bin"/><Relationship Id="rId6" Type="http://schemas.openxmlformats.org/officeDocument/2006/relationships/control" Target="../activeX/activeX2.xml"/><Relationship Id="rId23" Type="http://schemas.openxmlformats.org/officeDocument/2006/relationships/control" Target="../activeX/activeX19.xml"/><Relationship Id="rId28" Type="http://schemas.openxmlformats.org/officeDocument/2006/relationships/control" Target="../activeX/activeX24.xml"/><Relationship Id="rId49" Type="http://schemas.openxmlformats.org/officeDocument/2006/relationships/control" Target="../activeX/activeX45.xml"/><Relationship Id="rId114" Type="http://schemas.openxmlformats.org/officeDocument/2006/relationships/control" Target="../activeX/activeX110.xml"/><Relationship Id="rId119" Type="http://schemas.openxmlformats.org/officeDocument/2006/relationships/control" Target="../activeX/activeX115.xml"/><Relationship Id="rId44" Type="http://schemas.openxmlformats.org/officeDocument/2006/relationships/control" Target="../activeX/activeX40.xml"/><Relationship Id="rId60" Type="http://schemas.openxmlformats.org/officeDocument/2006/relationships/control" Target="../activeX/activeX56.xml"/><Relationship Id="rId65" Type="http://schemas.openxmlformats.org/officeDocument/2006/relationships/control" Target="../activeX/activeX61.xml"/><Relationship Id="rId81" Type="http://schemas.openxmlformats.org/officeDocument/2006/relationships/control" Target="../activeX/activeX77.xml"/><Relationship Id="rId86" Type="http://schemas.openxmlformats.org/officeDocument/2006/relationships/control" Target="../activeX/activeX82.xml"/><Relationship Id="rId130" Type="http://schemas.openxmlformats.org/officeDocument/2006/relationships/control" Target="../activeX/activeX126.xml"/><Relationship Id="rId135" Type="http://schemas.openxmlformats.org/officeDocument/2006/relationships/control" Target="../activeX/activeX131.xml"/><Relationship Id="rId151" Type="http://schemas.openxmlformats.org/officeDocument/2006/relationships/control" Target="../activeX/activeX147.xml"/><Relationship Id="rId156" Type="http://schemas.openxmlformats.org/officeDocument/2006/relationships/control" Target="../activeX/activeX152.xml"/><Relationship Id="rId177" Type="http://schemas.openxmlformats.org/officeDocument/2006/relationships/control" Target="../activeX/activeX173.xml"/><Relationship Id="rId198" Type="http://schemas.openxmlformats.org/officeDocument/2006/relationships/control" Target="../activeX/activeX194.xml"/><Relationship Id="rId172" Type="http://schemas.openxmlformats.org/officeDocument/2006/relationships/control" Target="../activeX/activeX168.xml"/><Relationship Id="rId193" Type="http://schemas.openxmlformats.org/officeDocument/2006/relationships/control" Target="../activeX/activeX189.xml"/><Relationship Id="rId202" Type="http://schemas.openxmlformats.org/officeDocument/2006/relationships/control" Target="../activeX/activeX198.xml"/><Relationship Id="rId13" Type="http://schemas.openxmlformats.org/officeDocument/2006/relationships/control" Target="../activeX/activeX9.xml"/><Relationship Id="rId18" Type="http://schemas.openxmlformats.org/officeDocument/2006/relationships/control" Target="../activeX/activeX14.xml"/><Relationship Id="rId39" Type="http://schemas.openxmlformats.org/officeDocument/2006/relationships/control" Target="../activeX/activeX35.xml"/><Relationship Id="rId109" Type="http://schemas.openxmlformats.org/officeDocument/2006/relationships/control" Target="../activeX/activeX105.xml"/><Relationship Id="rId34" Type="http://schemas.openxmlformats.org/officeDocument/2006/relationships/control" Target="../activeX/activeX30.xml"/><Relationship Id="rId50" Type="http://schemas.openxmlformats.org/officeDocument/2006/relationships/control" Target="../activeX/activeX46.xml"/><Relationship Id="rId55" Type="http://schemas.openxmlformats.org/officeDocument/2006/relationships/control" Target="../activeX/activeX51.xml"/><Relationship Id="rId76" Type="http://schemas.openxmlformats.org/officeDocument/2006/relationships/control" Target="../activeX/activeX72.xml"/><Relationship Id="rId97" Type="http://schemas.openxmlformats.org/officeDocument/2006/relationships/control" Target="../activeX/activeX93.xml"/><Relationship Id="rId104" Type="http://schemas.openxmlformats.org/officeDocument/2006/relationships/control" Target="../activeX/activeX100.xml"/><Relationship Id="rId120" Type="http://schemas.openxmlformats.org/officeDocument/2006/relationships/control" Target="../activeX/activeX116.xml"/><Relationship Id="rId125" Type="http://schemas.openxmlformats.org/officeDocument/2006/relationships/control" Target="../activeX/activeX121.xml"/><Relationship Id="rId141" Type="http://schemas.openxmlformats.org/officeDocument/2006/relationships/control" Target="../activeX/activeX137.xml"/><Relationship Id="rId146" Type="http://schemas.openxmlformats.org/officeDocument/2006/relationships/control" Target="../activeX/activeX142.xml"/><Relationship Id="rId167" Type="http://schemas.openxmlformats.org/officeDocument/2006/relationships/control" Target="../activeX/activeX163.xml"/><Relationship Id="rId188" Type="http://schemas.openxmlformats.org/officeDocument/2006/relationships/control" Target="../activeX/activeX184.xml"/><Relationship Id="rId7" Type="http://schemas.openxmlformats.org/officeDocument/2006/relationships/control" Target="../activeX/activeX3.xml"/><Relationship Id="rId71" Type="http://schemas.openxmlformats.org/officeDocument/2006/relationships/control" Target="../activeX/activeX67.xml"/><Relationship Id="rId92" Type="http://schemas.openxmlformats.org/officeDocument/2006/relationships/control" Target="../activeX/activeX88.xml"/><Relationship Id="rId162" Type="http://schemas.openxmlformats.org/officeDocument/2006/relationships/control" Target="../activeX/activeX158.xml"/><Relationship Id="rId183" Type="http://schemas.openxmlformats.org/officeDocument/2006/relationships/control" Target="../activeX/activeX179.xml"/><Relationship Id="rId2" Type="http://schemas.openxmlformats.org/officeDocument/2006/relationships/drawing" Target="../drawings/drawing1.xml"/><Relationship Id="rId29" Type="http://schemas.openxmlformats.org/officeDocument/2006/relationships/control" Target="../activeX/activeX25.xml"/><Relationship Id="rId24" Type="http://schemas.openxmlformats.org/officeDocument/2006/relationships/control" Target="../activeX/activeX20.xml"/><Relationship Id="rId40" Type="http://schemas.openxmlformats.org/officeDocument/2006/relationships/control" Target="../activeX/activeX36.xml"/><Relationship Id="rId45" Type="http://schemas.openxmlformats.org/officeDocument/2006/relationships/control" Target="../activeX/activeX41.xml"/><Relationship Id="rId66" Type="http://schemas.openxmlformats.org/officeDocument/2006/relationships/control" Target="../activeX/activeX62.xml"/><Relationship Id="rId87" Type="http://schemas.openxmlformats.org/officeDocument/2006/relationships/control" Target="../activeX/activeX83.xml"/><Relationship Id="rId110" Type="http://schemas.openxmlformats.org/officeDocument/2006/relationships/control" Target="../activeX/activeX106.xml"/><Relationship Id="rId115" Type="http://schemas.openxmlformats.org/officeDocument/2006/relationships/control" Target="../activeX/activeX111.xml"/><Relationship Id="rId131" Type="http://schemas.openxmlformats.org/officeDocument/2006/relationships/control" Target="../activeX/activeX127.xml"/><Relationship Id="rId136" Type="http://schemas.openxmlformats.org/officeDocument/2006/relationships/control" Target="../activeX/activeX132.xml"/><Relationship Id="rId157" Type="http://schemas.openxmlformats.org/officeDocument/2006/relationships/control" Target="../activeX/activeX153.xml"/><Relationship Id="rId178" Type="http://schemas.openxmlformats.org/officeDocument/2006/relationships/control" Target="../activeX/activeX174.xml"/><Relationship Id="rId61" Type="http://schemas.openxmlformats.org/officeDocument/2006/relationships/control" Target="../activeX/activeX57.xml"/><Relationship Id="rId82" Type="http://schemas.openxmlformats.org/officeDocument/2006/relationships/control" Target="../activeX/activeX78.xml"/><Relationship Id="rId152" Type="http://schemas.openxmlformats.org/officeDocument/2006/relationships/control" Target="../activeX/activeX148.xml"/><Relationship Id="rId173" Type="http://schemas.openxmlformats.org/officeDocument/2006/relationships/control" Target="../activeX/activeX169.xml"/><Relationship Id="rId194" Type="http://schemas.openxmlformats.org/officeDocument/2006/relationships/control" Target="../activeX/activeX190.xml"/><Relationship Id="rId199" Type="http://schemas.openxmlformats.org/officeDocument/2006/relationships/control" Target="../activeX/activeX195.xml"/><Relationship Id="rId203" Type="http://schemas.openxmlformats.org/officeDocument/2006/relationships/control" Target="../activeX/activeX199.xml"/><Relationship Id="rId19" Type="http://schemas.openxmlformats.org/officeDocument/2006/relationships/control" Target="../activeX/activeX15.xml"/><Relationship Id="rId14" Type="http://schemas.openxmlformats.org/officeDocument/2006/relationships/control" Target="../activeX/activeX10.xml"/><Relationship Id="rId30" Type="http://schemas.openxmlformats.org/officeDocument/2006/relationships/control" Target="../activeX/activeX26.xml"/><Relationship Id="rId35" Type="http://schemas.openxmlformats.org/officeDocument/2006/relationships/control" Target="../activeX/activeX31.xml"/><Relationship Id="rId56" Type="http://schemas.openxmlformats.org/officeDocument/2006/relationships/control" Target="../activeX/activeX52.xml"/><Relationship Id="rId77" Type="http://schemas.openxmlformats.org/officeDocument/2006/relationships/control" Target="../activeX/activeX73.xml"/><Relationship Id="rId100" Type="http://schemas.openxmlformats.org/officeDocument/2006/relationships/control" Target="../activeX/activeX96.xml"/><Relationship Id="rId105" Type="http://schemas.openxmlformats.org/officeDocument/2006/relationships/control" Target="../activeX/activeX101.xml"/><Relationship Id="rId126" Type="http://schemas.openxmlformats.org/officeDocument/2006/relationships/control" Target="../activeX/activeX122.xml"/><Relationship Id="rId147" Type="http://schemas.openxmlformats.org/officeDocument/2006/relationships/control" Target="../activeX/activeX143.xml"/><Relationship Id="rId168" Type="http://schemas.openxmlformats.org/officeDocument/2006/relationships/control" Target="../activeX/activeX164.xml"/><Relationship Id="rId8" Type="http://schemas.openxmlformats.org/officeDocument/2006/relationships/control" Target="../activeX/activeX4.xml"/><Relationship Id="rId51" Type="http://schemas.openxmlformats.org/officeDocument/2006/relationships/control" Target="../activeX/activeX47.xml"/><Relationship Id="rId72" Type="http://schemas.openxmlformats.org/officeDocument/2006/relationships/control" Target="../activeX/activeX68.xml"/><Relationship Id="rId93" Type="http://schemas.openxmlformats.org/officeDocument/2006/relationships/control" Target="../activeX/activeX89.xml"/><Relationship Id="rId98" Type="http://schemas.openxmlformats.org/officeDocument/2006/relationships/control" Target="../activeX/activeX94.xml"/><Relationship Id="rId121" Type="http://schemas.openxmlformats.org/officeDocument/2006/relationships/control" Target="../activeX/activeX117.xml"/><Relationship Id="rId142" Type="http://schemas.openxmlformats.org/officeDocument/2006/relationships/control" Target="../activeX/activeX138.xml"/><Relationship Id="rId163" Type="http://schemas.openxmlformats.org/officeDocument/2006/relationships/control" Target="../activeX/activeX159.xml"/><Relationship Id="rId184" Type="http://schemas.openxmlformats.org/officeDocument/2006/relationships/control" Target="../activeX/activeX180.xml"/><Relationship Id="rId189" Type="http://schemas.openxmlformats.org/officeDocument/2006/relationships/control" Target="../activeX/activeX185.xml"/><Relationship Id="rId3" Type="http://schemas.openxmlformats.org/officeDocument/2006/relationships/vmlDrawing" Target="../drawings/vmlDrawing1.vml"/><Relationship Id="rId25" Type="http://schemas.openxmlformats.org/officeDocument/2006/relationships/control" Target="../activeX/activeX21.xml"/><Relationship Id="rId46" Type="http://schemas.openxmlformats.org/officeDocument/2006/relationships/control" Target="../activeX/activeX42.xml"/><Relationship Id="rId67" Type="http://schemas.openxmlformats.org/officeDocument/2006/relationships/control" Target="../activeX/activeX63.xml"/><Relationship Id="rId116" Type="http://schemas.openxmlformats.org/officeDocument/2006/relationships/control" Target="../activeX/activeX112.xml"/><Relationship Id="rId137" Type="http://schemas.openxmlformats.org/officeDocument/2006/relationships/control" Target="../activeX/activeX133.xml"/><Relationship Id="rId158" Type="http://schemas.openxmlformats.org/officeDocument/2006/relationships/control" Target="../activeX/activeX154.xml"/><Relationship Id="rId20" Type="http://schemas.openxmlformats.org/officeDocument/2006/relationships/control" Target="../activeX/activeX16.xml"/><Relationship Id="rId41" Type="http://schemas.openxmlformats.org/officeDocument/2006/relationships/control" Target="../activeX/activeX37.xml"/><Relationship Id="rId62" Type="http://schemas.openxmlformats.org/officeDocument/2006/relationships/control" Target="../activeX/activeX58.xml"/><Relationship Id="rId83" Type="http://schemas.openxmlformats.org/officeDocument/2006/relationships/control" Target="../activeX/activeX79.xml"/><Relationship Id="rId88" Type="http://schemas.openxmlformats.org/officeDocument/2006/relationships/control" Target="../activeX/activeX84.xml"/><Relationship Id="rId111" Type="http://schemas.openxmlformats.org/officeDocument/2006/relationships/control" Target="../activeX/activeX107.xml"/><Relationship Id="rId132" Type="http://schemas.openxmlformats.org/officeDocument/2006/relationships/control" Target="../activeX/activeX128.xml"/><Relationship Id="rId153" Type="http://schemas.openxmlformats.org/officeDocument/2006/relationships/control" Target="../activeX/activeX149.xml"/><Relationship Id="rId174" Type="http://schemas.openxmlformats.org/officeDocument/2006/relationships/control" Target="../activeX/activeX170.xml"/><Relationship Id="rId179" Type="http://schemas.openxmlformats.org/officeDocument/2006/relationships/control" Target="../activeX/activeX175.xml"/><Relationship Id="rId195" Type="http://schemas.openxmlformats.org/officeDocument/2006/relationships/control" Target="../activeX/activeX191.xml"/><Relationship Id="rId190" Type="http://schemas.openxmlformats.org/officeDocument/2006/relationships/control" Target="../activeX/activeX186.xml"/><Relationship Id="rId204" Type="http://schemas.openxmlformats.org/officeDocument/2006/relationships/control" Target="../activeX/activeX200.xml"/><Relationship Id="rId15" Type="http://schemas.openxmlformats.org/officeDocument/2006/relationships/control" Target="../activeX/activeX11.xml"/><Relationship Id="rId36" Type="http://schemas.openxmlformats.org/officeDocument/2006/relationships/control" Target="../activeX/activeX32.xml"/><Relationship Id="rId57" Type="http://schemas.openxmlformats.org/officeDocument/2006/relationships/control" Target="../activeX/activeX53.xml"/><Relationship Id="rId106" Type="http://schemas.openxmlformats.org/officeDocument/2006/relationships/control" Target="../activeX/activeX102.xml"/><Relationship Id="rId127" Type="http://schemas.openxmlformats.org/officeDocument/2006/relationships/control" Target="../activeX/activeX123.xml"/><Relationship Id="rId10" Type="http://schemas.openxmlformats.org/officeDocument/2006/relationships/control" Target="../activeX/activeX6.xml"/><Relationship Id="rId31" Type="http://schemas.openxmlformats.org/officeDocument/2006/relationships/control" Target="../activeX/activeX27.xml"/><Relationship Id="rId52" Type="http://schemas.openxmlformats.org/officeDocument/2006/relationships/control" Target="../activeX/activeX48.xml"/><Relationship Id="rId73" Type="http://schemas.openxmlformats.org/officeDocument/2006/relationships/control" Target="../activeX/activeX69.xml"/><Relationship Id="rId78" Type="http://schemas.openxmlformats.org/officeDocument/2006/relationships/control" Target="../activeX/activeX74.xml"/><Relationship Id="rId94" Type="http://schemas.openxmlformats.org/officeDocument/2006/relationships/control" Target="../activeX/activeX90.xml"/><Relationship Id="rId99" Type="http://schemas.openxmlformats.org/officeDocument/2006/relationships/control" Target="../activeX/activeX95.xml"/><Relationship Id="rId101" Type="http://schemas.openxmlformats.org/officeDocument/2006/relationships/control" Target="../activeX/activeX97.xml"/><Relationship Id="rId122" Type="http://schemas.openxmlformats.org/officeDocument/2006/relationships/control" Target="../activeX/activeX118.xml"/><Relationship Id="rId143" Type="http://schemas.openxmlformats.org/officeDocument/2006/relationships/control" Target="../activeX/activeX139.xml"/><Relationship Id="rId148" Type="http://schemas.openxmlformats.org/officeDocument/2006/relationships/control" Target="../activeX/activeX144.xml"/><Relationship Id="rId164" Type="http://schemas.openxmlformats.org/officeDocument/2006/relationships/control" Target="../activeX/activeX160.xml"/><Relationship Id="rId169" Type="http://schemas.openxmlformats.org/officeDocument/2006/relationships/control" Target="../activeX/activeX165.xml"/><Relationship Id="rId185" Type="http://schemas.openxmlformats.org/officeDocument/2006/relationships/control" Target="../activeX/activeX181.xml"/><Relationship Id="rId4" Type="http://schemas.openxmlformats.org/officeDocument/2006/relationships/control" Target="../activeX/activeX1.xml"/><Relationship Id="rId9" Type="http://schemas.openxmlformats.org/officeDocument/2006/relationships/control" Target="../activeX/activeX5.xml"/><Relationship Id="rId180" Type="http://schemas.openxmlformats.org/officeDocument/2006/relationships/control" Target="../activeX/activeX176.xml"/><Relationship Id="rId26" Type="http://schemas.openxmlformats.org/officeDocument/2006/relationships/control" Target="../activeX/activeX22.xml"/><Relationship Id="rId47" Type="http://schemas.openxmlformats.org/officeDocument/2006/relationships/control" Target="../activeX/activeX43.xml"/><Relationship Id="rId68" Type="http://schemas.openxmlformats.org/officeDocument/2006/relationships/control" Target="../activeX/activeX64.xml"/><Relationship Id="rId89" Type="http://schemas.openxmlformats.org/officeDocument/2006/relationships/control" Target="../activeX/activeX85.xml"/><Relationship Id="rId112" Type="http://schemas.openxmlformats.org/officeDocument/2006/relationships/control" Target="../activeX/activeX108.xml"/><Relationship Id="rId133" Type="http://schemas.openxmlformats.org/officeDocument/2006/relationships/control" Target="../activeX/activeX129.xml"/><Relationship Id="rId154" Type="http://schemas.openxmlformats.org/officeDocument/2006/relationships/control" Target="../activeX/activeX150.xml"/><Relationship Id="rId175" Type="http://schemas.openxmlformats.org/officeDocument/2006/relationships/control" Target="../activeX/activeX171.xml"/><Relationship Id="rId196" Type="http://schemas.openxmlformats.org/officeDocument/2006/relationships/control" Target="../activeX/activeX192.xml"/><Relationship Id="rId200" Type="http://schemas.openxmlformats.org/officeDocument/2006/relationships/control" Target="../activeX/activeX196.xml"/></Relationships>
</file>

<file path=xl/worksheets/_rels/sheet4.xml.rels><?xml version="1.0" encoding="UTF-8" standalone="yes"?>
<Relationships xmlns="http://schemas.openxmlformats.org/package/2006/relationships"><Relationship Id="rId117" Type="http://schemas.openxmlformats.org/officeDocument/2006/relationships/control" Target="../activeX/activeX313.xml"/><Relationship Id="rId21" Type="http://schemas.openxmlformats.org/officeDocument/2006/relationships/control" Target="../activeX/activeX217.xml"/><Relationship Id="rId42" Type="http://schemas.openxmlformats.org/officeDocument/2006/relationships/control" Target="../activeX/activeX238.xml"/><Relationship Id="rId47" Type="http://schemas.openxmlformats.org/officeDocument/2006/relationships/control" Target="../activeX/activeX243.xml"/><Relationship Id="rId63" Type="http://schemas.openxmlformats.org/officeDocument/2006/relationships/control" Target="../activeX/activeX259.xml"/><Relationship Id="rId68" Type="http://schemas.openxmlformats.org/officeDocument/2006/relationships/control" Target="../activeX/activeX264.xml"/><Relationship Id="rId84" Type="http://schemas.openxmlformats.org/officeDocument/2006/relationships/control" Target="../activeX/activeX280.xml"/><Relationship Id="rId89" Type="http://schemas.openxmlformats.org/officeDocument/2006/relationships/control" Target="../activeX/activeX285.xml"/><Relationship Id="rId112" Type="http://schemas.openxmlformats.org/officeDocument/2006/relationships/control" Target="../activeX/activeX308.xml"/><Relationship Id="rId133" Type="http://schemas.openxmlformats.org/officeDocument/2006/relationships/control" Target="../activeX/activeX329.xml"/><Relationship Id="rId138" Type="http://schemas.openxmlformats.org/officeDocument/2006/relationships/control" Target="../activeX/activeX334.xml"/><Relationship Id="rId154" Type="http://schemas.openxmlformats.org/officeDocument/2006/relationships/control" Target="../activeX/activeX350.xml"/><Relationship Id="rId159" Type="http://schemas.openxmlformats.org/officeDocument/2006/relationships/control" Target="../activeX/activeX355.xml"/><Relationship Id="rId175" Type="http://schemas.openxmlformats.org/officeDocument/2006/relationships/control" Target="../activeX/activeX371.xml"/><Relationship Id="rId170" Type="http://schemas.openxmlformats.org/officeDocument/2006/relationships/control" Target="../activeX/activeX366.xml"/><Relationship Id="rId191" Type="http://schemas.openxmlformats.org/officeDocument/2006/relationships/control" Target="../activeX/activeX386.xml"/><Relationship Id="rId196" Type="http://schemas.openxmlformats.org/officeDocument/2006/relationships/control" Target="../activeX/activeX391.xml"/><Relationship Id="rId16" Type="http://schemas.openxmlformats.org/officeDocument/2006/relationships/control" Target="../activeX/activeX212.xml"/><Relationship Id="rId107" Type="http://schemas.openxmlformats.org/officeDocument/2006/relationships/control" Target="../activeX/activeX303.xml"/><Relationship Id="rId11" Type="http://schemas.openxmlformats.org/officeDocument/2006/relationships/control" Target="../activeX/activeX207.xml"/><Relationship Id="rId32" Type="http://schemas.openxmlformats.org/officeDocument/2006/relationships/control" Target="../activeX/activeX228.xml"/><Relationship Id="rId37" Type="http://schemas.openxmlformats.org/officeDocument/2006/relationships/control" Target="../activeX/activeX233.xml"/><Relationship Id="rId53" Type="http://schemas.openxmlformats.org/officeDocument/2006/relationships/control" Target="../activeX/activeX249.xml"/><Relationship Id="rId58" Type="http://schemas.openxmlformats.org/officeDocument/2006/relationships/control" Target="../activeX/activeX254.xml"/><Relationship Id="rId74" Type="http://schemas.openxmlformats.org/officeDocument/2006/relationships/control" Target="../activeX/activeX270.xml"/><Relationship Id="rId79" Type="http://schemas.openxmlformats.org/officeDocument/2006/relationships/control" Target="../activeX/activeX275.xml"/><Relationship Id="rId102" Type="http://schemas.openxmlformats.org/officeDocument/2006/relationships/control" Target="../activeX/activeX298.xml"/><Relationship Id="rId123" Type="http://schemas.openxmlformats.org/officeDocument/2006/relationships/control" Target="../activeX/activeX319.xml"/><Relationship Id="rId128" Type="http://schemas.openxmlformats.org/officeDocument/2006/relationships/control" Target="../activeX/activeX324.xml"/><Relationship Id="rId144" Type="http://schemas.openxmlformats.org/officeDocument/2006/relationships/control" Target="../activeX/activeX340.xml"/><Relationship Id="rId149" Type="http://schemas.openxmlformats.org/officeDocument/2006/relationships/control" Target="../activeX/activeX345.xml"/><Relationship Id="rId5" Type="http://schemas.openxmlformats.org/officeDocument/2006/relationships/image" Target="../media/image1.emf"/><Relationship Id="rId90" Type="http://schemas.openxmlformats.org/officeDocument/2006/relationships/control" Target="../activeX/activeX286.xml"/><Relationship Id="rId95" Type="http://schemas.openxmlformats.org/officeDocument/2006/relationships/control" Target="../activeX/activeX291.xml"/><Relationship Id="rId160" Type="http://schemas.openxmlformats.org/officeDocument/2006/relationships/control" Target="../activeX/activeX356.xml"/><Relationship Id="rId165" Type="http://schemas.openxmlformats.org/officeDocument/2006/relationships/control" Target="../activeX/activeX361.xml"/><Relationship Id="rId181" Type="http://schemas.openxmlformats.org/officeDocument/2006/relationships/control" Target="../activeX/activeX377.xml"/><Relationship Id="rId186" Type="http://schemas.openxmlformats.org/officeDocument/2006/relationships/control" Target="../activeX/activeX381.xml"/><Relationship Id="rId22" Type="http://schemas.openxmlformats.org/officeDocument/2006/relationships/control" Target="../activeX/activeX218.xml"/><Relationship Id="rId27" Type="http://schemas.openxmlformats.org/officeDocument/2006/relationships/control" Target="../activeX/activeX223.xml"/><Relationship Id="rId43" Type="http://schemas.openxmlformats.org/officeDocument/2006/relationships/control" Target="../activeX/activeX239.xml"/><Relationship Id="rId48" Type="http://schemas.openxmlformats.org/officeDocument/2006/relationships/control" Target="../activeX/activeX244.xml"/><Relationship Id="rId64" Type="http://schemas.openxmlformats.org/officeDocument/2006/relationships/control" Target="../activeX/activeX260.xml"/><Relationship Id="rId69" Type="http://schemas.openxmlformats.org/officeDocument/2006/relationships/control" Target="../activeX/activeX265.xml"/><Relationship Id="rId113" Type="http://schemas.openxmlformats.org/officeDocument/2006/relationships/control" Target="../activeX/activeX309.xml"/><Relationship Id="rId118" Type="http://schemas.openxmlformats.org/officeDocument/2006/relationships/control" Target="../activeX/activeX314.xml"/><Relationship Id="rId134" Type="http://schemas.openxmlformats.org/officeDocument/2006/relationships/control" Target="../activeX/activeX330.xml"/><Relationship Id="rId139" Type="http://schemas.openxmlformats.org/officeDocument/2006/relationships/control" Target="../activeX/activeX335.xml"/><Relationship Id="rId80" Type="http://schemas.openxmlformats.org/officeDocument/2006/relationships/control" Target="../activeX/activeX276.xml"/><Relationship Id="rId85" Type="http://schemas.openxmlformats.org/officeDocument/2006/relationships/control" Target="../activeX/activeX281.xml"/><Relationship Id="rId150" Type="http://schemas.openxmlformats.org/officeDocument/2006/relationships/control" Target="../activeX/activeX346.xml"/><Relationship Id="rId155" Type="http://schemas.openxmlformats.org/officeDocument/2006/relationships/control" Target="../activeX/activeX351.xml"/><Relationship Id="rId171" Type="http://schemas.openxmlformats.org/officeDocument/2006/relationships/control" Target="../activeX/activeX367.xml"/><Relationship Id="rId176" Type="http://schemas.openxmlformats.org/officeDocument/2006/relationships/control" Target="../activeX/activeX372.xml"/><Relationship Id="rId192" Type="http://schemas.openxmlformats.org/officeDocument/2006/relationships/control" Target="../activeX/activeX387.xml"/><Relationship Id="rId197" Type="http://schemas.openxmlformats.org/officeDocument/2006/relationships/control" Target="../activeX/activeX392.xml"/><Relationship Id="rId12" Type="http://schemas.openxmlformats.org/officeDocument/2006/relationships/control" Target="../activeX/activeX208.xml"/><Relationship Id="rId17" Type="http://schemas.openxmlformats.org/officeDocument/2006/relationships/control" Target="../activeX/activeX213.xml"/><Relationship Id="rId33" Type="http://schemas.openxmlformats.org/officeDocument/2006/relationships/control" Target="../activeX/activeX229.xml"/><Relationship Id="rId38" Type="http://schemas.openxmlformats.org/officeDocument/2006/relationships/control" Target="../activeX/activeX234.xml"/><Relationship Id="rId59" Type="http://schemas.openxmlformats.org/officeDocument/2006/relationships/control" Target="../activeX/activeX255.xml"/><Relationship Id="rId103" Type="http://schemas.openxmlformats.org/officeDocument/2006/relationships/control" Target="../activeX/activeX299.xml"/><Relationship Id="rId108" Type="http://schemas.openxmlformats.org/officeDocument/2006/relationships/control" Target="../activeX/activeX304.xml"/><Relationship Id="rId124" Type="http://schemas.openxmlformats.org/officeDocument/2006/relationships/control" Target="../activeX/activeX320.xml"/><Relationship Id="rId129" Type="http://schemas.openxmlformats.org/officeDocument/2006/relationships/control" Target="../activeX/activeX325.xml"/><Relationship Id="rId54" Type="http://schemas.openxmlformats.org/officeDocument/2006/relationships/control" Target="../activeX/activeX250.xml"/><Relationship Id="rId70" Type="http://schemas.openxmlformats.org/officeDocument/2006/relationships/control" Target="../activeX/activeX266.xml"/><Relationship Id="rId75" Type="http://schemas.openxmlformats.org/officeDocument/2006/relationships/control" Target="../activeX/activeX271.xml"/><Relationship Id="rId91" Type="http://schemas.openxmlformats.org/officeDocument/2006/relationships/control" Target="../activeX/activeX287.xml"/><Relationship Id="rId96" Type="http://schemas.openxmlformats.org/officeDocument/2006/relationships/control" Target="../activeX/activeX292.xml"/><Relationship Id="rId140" Type="http://schemas.openxmlformats.org/officeDocument/2006/relationships/control" Target="../activeX/activeX336.xml"/><Relationship Id="rId145" Type="http://schemas.openxmlformats.org/officeDocument/2006/relationships/control" Target="../activeX/activeX341.xml"/><Relationship Id="rId161" Type="http://schemas.openxmlformats.org/officeDocument/2006/relationships/control" Target="../activeX/activeX357.xml"/><Relationship Id="rId166" Type="http://schemas.openxmlformats.org/officeDocument/2006/relationships/control" Target="../activeX/activeX362.xml"/><Relationship Id="rId182" Type="http://schemas.openxmlformats.org/officeDocument/2006/relationships/control" Target="../activeX/activeX378.xml"/><Relationship Id="rId187" Type="http://schemas.openxmlformats.org/officeDocument/2006/relationships/control" Target="../activeX/activeX382.xml"/><Relationship Id="rId1" Type="http://schemas.openxmlformats.org/officeDocument/2006/relationships/printerSettings" Target="../printerSettings/printerSettings2.bin"/><Relationship Id="rId6" Type="http://schemas.openxmlformats.org/officeDocument/2006/relationships/control" Target="../activeX/activeX202.xml"/><Relationship Id="rId23" Type="http://schemas.openxmlformats.org/officeDocument/2006/relationships/control" Target="../activeX/activeX219.xml"/><Relationship Id="rId28" Type="http://schemas.openxmlformats.org/officeDocument/2006/relationships/control" Target="../activeX/activeX224.xml"/><Relationship Id="rId49" Type="http://schemas.openxmlformats.org/officeDocument/2006/relationships/control" Target="../activeX/activeX245.xml"/><Relationship Id="rId114" Type="http://schemas.openxmlformats.org/officeDocument/2006/relationships/control" Target="../activeX/activeX310.xml"/><Relationship Id="rId119" Type="http://schemas.openxmlformats.org/officeDocument/2006/relationships/control" Target="../activeX/activeX315.xml"/><Relationship Id="rId44" Type="http://schemas.openxmlformats.org/officeDocument/2006/relationships/control" Target="../activeX/activeX240.xml"/><Relationship Id="rId60" Type="http://schemas.openxmlformats.org/officeDocument/2006/relationships/control" Target="../activeX/activeX256.xml"/><Relationship Id="rId65" Type="http://schemas.openxmlformats.org/officeDocument/2006/relationships/control" Target="../activeX/activeX261.xml"/><Relationship Id="rId81" Type="http://schemas.openxmlformats.org/officeDocument/2006/relationships/control" Target="../activeX/activeX277.xml"/><Relationship Id="rId86" Type="http://schemas.openxmlformats.org/officeDocument/2006/relationships/control" Target="../activeX/activeX282.xml"/><Relationship Id="rId130" Type="http://schemas.openxmlformats.org/officeDocument/2006/relationships/control" Target="../activeX/activeX326.xml"/><Relationship Id="rId135" Type="http://schemas.openxmlformats.org/officeDocument/2006/relationships/control" Target="../activeX/activeX331.xml"/><Relationship Id="rId151" Type="http://schemas.openxmlformats.org/officeDocument/2006/relationships/control" Target="../activeX/activeX347.xml"/><Relationship Id="rId156" Type="http://schemas.openxmlformats.org/officeDocument/2006/relationships/control" Target="../activeX/activeX352.xml"/><Relationship Id="rId177" Type="http://schemas.openxmlformats.org/officeDocument/2006/relationships/control" Target="../activeX/activeX373.xml"/><Relationship Id="rId198" Type="http://schemas.openxmlformats.org/officeDocument/2006/relationships/comments" Target="../comments2.xml"/><Relationship Id="rId172" Type="http://schemas.openxmlformats.org/officeDocument/2006/relationships/control" Target="../activeX/activeX368.xml"/><Relationship Id="rId193" Type="http://schemas.openxmlformats.org/officeDocument/2006/relationships/control" Target="../activeX/activeX388.xml"/><Relationship Id="rId13" Type="http://schemas.openxmlformats.org/officeDocument/2006/relationships/control" Target="../activeX/activeX209.xml"/><Relationship Id="rId18" Type="http://schemas.openxmlformats.org/officeDocument/2006/relationships/control" Target="../activeX/activeX214.xml"/><Relationship Id="rId39" Type="http://schemas.openxmlformats.org/officeDocument/2006/relationships/control" Target="../activeX/activeX235.xml"/><Relationship Id="rId109" Type="http://schemas.openxmlformats.org/officeDocument/2006/relationships/control" Target="../activeX/activeX305.xml"/><Relationship Id="rId34" Type="http://schemas.openxmlformats.org/officeDocument/2006/relationships/control" Target="../activeX/activeX230.xml"/><Relationship Id="rId50" Type="http://schemas.openxmlformats.org/officeDocument/2006/relationships/control" Target="../activeX/activeX246.xml"/><Relationship Id="rId55" Type="http://schemas.openxmlformats.org/officeDocument/2006/relationships/control" Target="../activeX/activeX251.xml"/><Relationship Id="rId76" Type="http://schemas.openxmlformats.org/officeDocument/2006/relationships/control" Target="../activeX/activeX272.xml"/><Relationship Id="rId97" Type="http://schemas.openxmlformats.org/officeDocument/2006/relationships/control" Target="../activeX/activeX293.xml"/><Relationship Id="rId104" Type="http://schemas.openxmlformats.org/officeDocument/2006/relationships/control" Target="../activeX/activeX300.xml"/><Relationship Id="rId120" Type="http://schemas.openxmlformats.org/officeDocument/2006/relationships/control" Target="../activeX/activeX316.xml"/><Relationship Id="rId125" Type="http://schemas.openxmlformats.org/officeDocument/2006/relationships/control" Target="../activeX/activeX321.xml"/><Relationship Id="rId141" Type="http://schemas.openxmlformats.org/officeDocument/2006/relationships/control" Target="../activeX/activeX337.xml"/><Relationship Id="rId146" Type="http://schemas.openxmlformats.org/officeDocument/2006/relationships/control" Target="../activeX/activeX342.xml"/><Relationship Id="rId167" Type="http://schemas.openxmlformats.org/officeDocument/2006/relationships/control" Target="../activeX/activeX363.xml"/><Relationship Id="rId188" Type="http://schemas.openxmlformats.org/officeDocument/2006/relationships/control" Target="../activeX/activeX383.xml"/><Relationship Id="rId7" Type="http://schemas.openxmlformats.org/officeDocument/2006/relationships/control" Target="../activeX/activeX203.xml"/><Relationship Id="rId71" Type="http://schemas.openxmlformats.org/officeDocument/2006/relationships/control" Target="../activeX/activeX267.xml"/><Relationship Id="rId92" Type="http://schemas.openxmlformats.org/officeDocument/2006/relationships/control" Target="../activeX/activeX288.xml"/><Relationship Id="rId162" Type="http://schemas.openxmlformats.org/officeDocument/2006/relationships/control" Target="../activeX/activeX358.xml"/><Relationship Id="rId183" Type="http://schemas.openxmlformats.org/officeDocument/2006/relationships/control" Target="../activeX/activeX379.xml"/><Relationship Id="rId2" Type="http://schemas.openxmlformats.org/officeDocument/2006/relationships/drawing" Target="../drawings/drawing2.xml"/><Relationship Id="rId29" Type="http://schemas.openxmlformats.org/officeDocument/2006/relationships/control" Target="../activeX/activeX225.xml"/><Relationship Id="rId24" Type="http://schemas.openxmlformats.org/officeDocument/2006/relationships/control" Target="../activeX/activeX220.xml"/><Relationship Id="rId40" Type="http://schemas.openxmlformats.org/officeDocument/2006/relationships/control" Target="../activeX/activeX236.xml"/><Relationship Id="rId45" Type="http://schemas.openxmlformats.org/officeDocument/2006/relationships/control" Target="../activeX/activeX241.xml"/><Relationship Id="rId66" Type="http://schemas.openxmlformats.org/officeDocument/2006/relationships/control" Target="../activeX/activeX262.xml"/><Relationship Id="rId87" Type="http://schemas.openxmlformats.org/officeDocument/2006/relationships/control" Target="../activeX/activeX283.xml"/><Relationship Id="rId110" Type="http://schemas.openxmlformats.org/officeDocument/2006/relationships/control" Target="../activeX/activeX306.xml"/><Relationship Id="rId115" Type="http://schemas.openxmlformats.org/officeDocument/2006/relationships/control" Target="../activeX/activeX311.xml"/><Relationship Id="rId131" Type="http://schemas.openxmlformats.org/officeDocument/2006/relationships/control" Target="../activeX/activeX327.xml"/><Relationship Id="rId136" Type="http://schemas.openxmlformats.org/officeDocument/2006/relationships/control" Target="../activeX/activeX332.xml"/><Relationship Id="rId157" Type="http://schemas.openxmlformats.org/officeDocument/2006/relationships/control" Target="../activeX/activeX353.xml"/><Relationship Id="rId178" Type="http://schemas.openxmlformats.org/officeDocument/2006/relationships/control" Target="../activeX/activeX374.xml"/><Relationship Id="rId61" Type="http://schemas.openxmlformats.org/officeDocument/2006/relationships/control" Target="../activeX/activeX257.xml"/><Relationship Id="rId82" Type="http://schemas.openxmlformats.org/officeDocument/2006/relationships/control" Target="../activeX/activeX278.xml"/><Relationship Id="rId152" Type="http://schemas.openxmlformats.org/officeDocument/2006/relationships/control" Target="../activeX/activeX348.xml"/><Relationship Id="rId173" Type="http://schemas.openxmlformats.org/officeDocument/2006/relationships/control" Target="../activeX/activeX369.xml"/><Relationship Id="rId194" Type="http://schemas.openxmlformats.org/officeDocument/2006/relationships/control" Target="../activeX/activeX389.xml"/><Relationship Id="rId19" Type="http://schemas.openxmlformats.org/officeDocument/2006/relationships/control" Target="../activeX/activeX215.xml"/><Relationship Id="rId14" Type="http://schemas.openxmlformats.org/officeDocument/2006/relationships/control" Target="../activeX/activeX210.xml"/><Relationship Id="rId30" Type="http://schemas.openxmlformats.org/officeDocument/2006/relationships/control" Target="../activeX/activeX226.xml"/><Relationship Id="rId35" Type="http://schemas.openxmlformats.org/officeDocument/2006/relationships/control" Target="../activeX/activeX231.xml"/><Relationship Id="rId56" Type="http://schemas.openxmlformats.org/officeDocument/2006/relationships/control" Target="../activeX/activeX252.xml"/><Relationship Id="rId77" Type="http://schemas.openxmlformats.org/officeDocument/2006/relationships/control" Target="../activeX/activeX273.xml"/><Relationship Id="rId100" Type="http://schemas.openxmlformats.org/officeDocument/2006/relationships/control" Target="../activeX/activeX296.xml"/><Relationship Id="rId105" Type="http://schemas.openxmlformats.org/officeDocument/2006/relationships/control" Target="../activeX/activeX301.xml"/><Relationship Id="rId126" Type="http://schemas.openxmlformats.org/officeDocument/2006/relationships/control" Target="../activeX/activeX322.xml"/><Relationship Id="rId147" Type="http://schemas.openxmlformats.org/officeDocument/2006/relationships/control" Target="../activeX/activeX343.xml"/><Relationship Id="rId168" Type="http://schemas.openxmlformats.org/officeDocument/2006/relationships/control" Target="../activeX/activeX364.xml"/><Relationship Id="rId8" Type="http://schemas.openxmlformats.org/officeDocument/2006/relationships/control" Target="../activeX/activeX204.xml"/><Relationship Id="rId51" Type="http://schemas.openxmlformats.org/officeDocument/2006/relationships/control" Target="../activeX/activeX247.xml"/><Relationship Id="rId72" Type="http://schemas.openxmlformats.org/officeDocument/2006/relationships/control" Target="../activeX/activeX268.xml"/><Relationship Id="rId93" Type="http://schemas.openxmlformats.org/officeDocument/2006/relationships/control" Target="../activeX/activeX289.xml"/><Relationship Id="rId98" Type="http://schemas.openxmlformats.org/officeDocument/2006/relationships/control" Target="../activeX/activeX294.xml"/><Relationship Id="rId121" Type="http://schemas.openxmlformats.org/officeDocument/2006/relationships/control" Target="../activeX/activeX317.xml"/><Relationship Id="rId142" Type="http://schemas.openxmlformats.org/officeDocument/2006/relationships/control" Target="../activeX/activeX338.xml"/><Relationship Id="rId163" Type="http://schemas.openxmlformats.org/officeDocument/2006/relationships/control" Target="../activeX/activeX359.xml"/><Relationship Id="rId184" Type="http://schemas.openxmlformats.org/officeDocument/2006/relationships/image" Target="../media/image2.emf"/><Relationship Id="rId189" Type="http://schemas.openxmlformats.org/officeDocument/2006/relationships/control" Target="../activeX/activeX384.xml"/><Relationship Id="rId3" Type="http://schemas.openxmlformats.org/officeDocument/2006/relationships/vmlDrawing" Target="../drawings/vmlDrawing2.vml"/><Relationship Id="rId25" Type="http://schemas.openxmlformats.org/officeDocument/2006/relationships/control" Target="../activeX/activeX221.xml"/><Relationship Id="rId46" Type="http://schemas.openxmlformats.org/officeDocument/2006/relationships/control" Target="../activeX/activeX242.xml"/><Relationship Id="rId67" Type="http://schemas.openxmlformats.org/officeDocument/2006/relationships/control" Target="../activeX/activeX263.xml"/><Relationship Id="rId116" Type="http://schemas.openxmlformats.org/officeDocument/2006/relationships/control" Target="../activeX/activeX312.xml"/><Relationship Id="rId137" Type="http://schemas.openxmlformats.org/officeDocument/2006/relationships/control" Target="../activeX/activeX333.xml"/><Relationship Id="rId158" Type="http://schemas.openxmlformats.org/officeDocument/2006/relationships/control" Target="../activeX/activeX354.xml"/><Relationship Id="rId20" Type="http://schemas.openxmlformats.org/officeDocument/2006/relationships/control" Target="../activeX/activeX216.xml"/><Relationship Id="rId41" Type="http://schemas.openxmlformats.org/officeDocument/2006/relationships/control" Target="../activeX/activeX237.xml"/><Relationship Id="rId62" Type="http://schemas.openxmlformats.org/officeDocument/2006/relationships/control" Target="../activeX/activeX258.xml"/><Relationship Id="rId83" Type="http://schemas.openxmlformats.org/officeDocument/2006/relationships/control" Target="../activeX/activeX279.xml"/><Relationship Id="rId88" Type="http://schemas.openxmlformats.org/officeDocument/2006/relationships/control" Target="../activeX/activeX284.xml"/><Relationship Id="rId111" Type="http://schemas.openxmlformats.org/officeDocument/2006/relationships/control" Target="../activeX/activeX307.xml"/><Relationship Id="rId132" Type="http://schemas.openxmlformats.org/officeDocument/2006/relationships/control" Target="../activeX/activeX328.xml"/><Relationship Id="rId153" Type="http://schemas.openxmlformats.org/officeDocument/2006/relationships/control" Target="../activeX/activeX349.xml"/><Relationship Id="rId174" Type="http://schemas.openxmlformats.org/officeDocument/2006/relationships/control" Target="../activeX/activeX370.xml"/><Relationship Id="rId179" Type="http://schemas.openxmlformats.org/officeDocument/2006/relationships/control" Target="../activeX/activeX375.xml"/><Relationship Id="rId195" Type="http://schemas.openxmlformats.org/officeDocument/2006/relationships/control" Target="../activeX/activeX390.xml"/><Relationship Id="rId190" Type="http://schemas.openxmlformats.org/officeDocument/2006/relationships/control" Target="../activeX/activeX385.xml"/><Relationship Id="rId15" Type="http://schemas.openxmlformats.org/officeDocument/2006/relationships/control" Target="../activeX/activeX211.xml"/><Relationship Id="rId36" Type="http://schemas.openxmlformats.org/officeDocument/2006/relationships/control" Target="../activeX/activeX232.xml"/><Relationship Id="rId57" Type="http://schemas.openxmlformats.org/officeDocument/2006/relationships/control" Target="../activeX/activeX253.xml"/><Relationship Id="rId106" Type="http://schemas.openxmlformats.org/officeDocument/2006/relationships/control" Target="../activeX/activeX302.xml"/><Relationship Id="rId127" Type="http://schemas.openxmlformats.org/officeDocument/2006/relationships/control" Target="../activeX/activeX323.xml"/><Relationship Id="rId10" Type="http://schemas.openxmlformats.org/officeDocument/2006/relationships/control" Target="../activeX/activeX206.xml"/><Relationship Id="rId31" Type="http://schemas.openxmlformats.org/officeDocument/2006/relationships/control" Target="../activeX/activeX227.xml"/><Relationship Id="rId52" Type="http://schemas.openxmlformats.org/officeDocument/2006/relationships/control" Target="../activeX/activeX248.xml"/><Relationship Id="rId73" Type="http://schemas.openxmlformats.org/officeDocument/2006/relationships/control" Target="../activeX/activeX269.xml"/><Relationship Id="rId78" Type="http://schemas.openxmlformats.org/officeDocument/2006/relationships/control" Target="../activeX/activeX274.xml"/><Relationship Id="rId94" Type="http://schemas.openxmlformats.org/officeDocument/2006/relationships/control" Target="../activeX/activeX290.xml"/><Relationship Id="rId99" Type="http://schemas.openxmlformats.org/officeDocument/2006/relationships/control" Target="../activeX/activeX295.xml"/><Relationship Id="rId101" Type="http://schemas.openxmlformats.org/officeDocument/2006/relationships/control" Target="../activeX/activeX297.xml"/><Relationship Id="rId122" Type="http://schemas.openxmlformats.org/officeDocument/2006/relationships/control" Target="../activeX/activeX318.xml"/><Relationship Id="rId143" Type="http://schemas.openxmlformats.org/officeDocument/2006/relationships/control" Target="../activeX/activeX339.xml"/><Relationship Id="rId148" Type="http://schemas.openxmlformats.org/officeDocument/2006/relationships/control" Target="../activeX/activeX344.xml"/><Relationship Id="rId164" Type="http://schemas.openxmlformats.org/officeDocument/2006/relationships/control" Target="../activeX/activeX360.xml"/><Relationship Id="rId169" Type="http://schemas.openxmlformats.org/officeDocument/2006/relationships/control" Target="../activeX/activeX365.xml"/><Relationship Id="rId185" Type="http://schemas.openxmlformats.org/officeDocument/2006/relationships/control" Target="../activeX/activeX380.xml"/><Relationship Id="rId4" Type="http://schemas.openxmlformats.org/officeDocument/2006/relationships/control" Target="../activeX/activeX201.xml"/><Relationship Id="rId9" Type="http://schemas.openxmlformats.org/officeDocument/2006/relationships/control" Target="../activeX/activeX205.xml"/><Relationship Id="rId180" Type="http://schemas.openxmlformats.org/officeDocument/2006/relationships/control" Target="../activeX/activeX376.xml"/><Relationship Id="rId26" Type="http://schemas.openxmlformats.org/officeDocument/2006/relationships/control" Target="../activeX/activeX222.xml"/></Relationships>
</file>

<file path=xl/worksheets/_rels/sheet5.xml.rels><?xml version="1.0" encoding="UTF-8" standalone="yes"?>
<Relationships xmlns="http://schemas.openxmlformats.org/package/2006/relationships"><Relationship Id="rId117" Type="http://schemas.openxmlformats.org/officeDocument/2006/relationships/control" Target="../activeX/activeX506.xml"/><Relationship Id="rId21" Type="http://schemas.openxmlformats.org/officeDocument/2006/relationships/control" Target="../activeX/activeX410.xml"/><Relationship Id="rId42" Type="http://schemas.openxmlformats.org/officeDocument/2006/relationships/control" Target="../activeX/activeX431.xml"/><Relationship Id="rId47" Type="http://schemas.openxmlformats.org/officeDocument/2006/relationships/control" Target="../activeX/activeX436.xml"/><Relationship Id="rId63" Type="http://schemas.openxmlformats.org/officeDocument/2006/relationships/control" Target="../activeX/activeX452.xml"/><Relationship Id="rId68" Type="http://schemas.openxmlformats.org/officeDocument/2006/relationships/control" Target="../activeX/activeX457.xml"/><Relationship Id="rId84" Type="http://schemas.openxmlformats.org/officeDocument/2006/relationships/control" Target="../activeX/activeX473.xml"/><Relationship Id="rId89" Type="http://schemas.openxmlformats.org/officeDocument/2006/relationships/control" Target="../activeX/activeX478.xml"/><Relationship Id="rId112" Type="http://schemas.openxmlformats.org/officeDocument/2006/relationships/control" Target="../activeX/activeX501.xml"/><Relationship Id="rId133" Type="http://schemas.openxmlformats.org/officeDocument/2006/relationships/control" Target="../activeX/activeX522.xml"/><Relationship Id="rId138" Type="http://schemas.openxmlformats.org/officeDocument/2006/relationships/control" Target="../activeX/activeX527.xml"/><Relationship Id="rId154" Type="http://schemas.openxmlformats.org/officeDocument/2006/relationships/control" Target="../activeX/activeX543.xml"/><Relationship Id="rId159" Type="http://schemas.openxmlformats.org/officeDocument/2006/relationships/control" Target="../activeX/activeX548.xml"/><Relationship Id="rId175" Type="http://schemas.openxmlformats.org/officeDocument/2006/relationships/control" Target="../activeX/activeX564.xml"/><Relationship Id="rId170" Type="http://schemas.openxmlformats.org/officeDocument/2006/relationships/control" Target="../activeX/activeX559.xml"/><Relationship Id="rId191" Type="http://schemas.openxmlformats.org/officeDocument/2006/relationships/control" Target="../activeX/activeX579.xml"/><Relationship Id="rId196" Type="http://schemas.openxmlformats.org/officeDocument/2006/relationships/control" Target="../activeX/activeX584.xml"/><Relationship Id="rId16" Type="http://schemas.openxmlformats.org/officeDocument/2006/relationships/control" Target="../activeX/activeX405.xml"/><Relationship Id="rId107" Type="http://schemas.openxmlformats.org/officeDocument/2006/relationships/control" Target="../activeX/activeX496.xml"/><Relationship Id="rId11" Type="http://schemas.openxmlformats.org/officeDocument/2006/relationships/control" Target="../activeX/activeX400.xml"/><Relationship Id="rId32" Type="http://schemas.openxmlformats.org/officeDocument/2006/relationships/control" Target="../activeX/activeX421.xml"/><Relationship Id="rId37" Type="http://schemas.openxmlformats.org/officeDocument/2006/relationships/control" Target="../activeX/activeX426.xml"/><Relationship Id="rId53" Type="http://schemas.openxmlformats.org/officeDocument/2006/relationships/control" Target="../activeX/activeX442.xml"/><Relationship Id="rId58" Type="http://schemas.openxmlformats.org/officeDocument/2006/relationships/control" Target="../activeX/activeX447.xml"/><Relationship Id="rId74" Type="http://schemas.openxmlformats.org/officeDocument/2006/relationships/control" Target="../activeX/activeX463.xml"/><Relationship Id="rId79" Type="http://schemas.openxmlformats.org/officeDocument/2006/relationships/control" Target="../activeX/activeX468.xml"/><Relationship Id="rId102" Type="http://schemas.openxmlformats.org/officeDocument/2006/relationships/control" Target="../activeX/activeX491.xml"/><Relationship Id="rId123" Type="http://schemas.openxmlformats.org/officeDocument/2006/relationships/control" Target="../activeX/activeX512.xml"/><Relationship Id="rId128" Type="http://schemas.openxmlformats.org/officeDocument/2006/relationships/control" Target="../activeX/activeX517.xml"/><Relationship Id="rId144" Type="http://schemas.openxmlformats.org/officeDocument/2006/relationships/control" Target="../activeX/activeX533.xml"/><Relationship Id="rId149" Type="http://schemas.openxmlformats.org/officeDocument/2006/relationships/control" Target="../activeX/activeX538.xml"/><Relationship Id="rId5" Type="http://schemas.openxmlformats.org/officeDocument/2006/relationships/control" Target="../activeX/activeX394.xml"/><Relationship Id="rId90" Type="http://schemas.openxmlformats.org/officeDocument/2006/relationships/control" Target="../activeX/activeX479.xml"/><Relationship Id="rId95" Type="http://schemas.openxmlformats.org/officeDocument/2006/relationships/control" Target="../activeX/activeX484.xml"/><Relationship Id="rId160" Type="http://schemas.openxmlformats.org/officeDocument/2006/relationships/control" Target="../activeX/activeX549.xml"/><Relationship Id="rId165" Type="http://schemas.openxmlformats.org/officeDocument/2006/relationships/control" Target="../activeX/activeX554.xml"/><Relationship Id="rId181" Type="http://schemas.openxmlformats.org/officeDocument/2006/relationships/control" Target="../activeX/activeX570.xml"/><Relationship Id="rId186" Type="http://schemas.openxmlformats.org/officeDocument/2006/relationships/control" Target="../activeX/activeX574.xml"/><Relationship Id="rId22" Type="http://schemas.openxmlformats.org/officeDocument/2006/relationships/control" Target="../activeX/activeX411.xml"/><Relationship Id="rId27" Type="http://schemas.openxmlformats.org/officeDocument/2006/relationships/control" Target="../activeX/activeX416.xml"/><Relationship Id="rId43" Type="http://schemas.openxmlformats.org/officeDocument/2006/relationships/control" Target="../activeX/activeX432.xml"/><Relationship Id="rId48" Type="http://schemas.openxmlformats.org/officeDocument/2006/relationships/control" Target="../activeX/activeX437.xml"/><Relationship Id="rId64" Type="http://schemas.openxmlformats.org/officeDocument/2006/relationships/control" Target="../activeX/activeX453.xml"/><Relationship Id="rId69" Type="http://schemas.openxmlformats.org/officeDocument/2006/relationships/control" Target="../activeX/activeX458.xml"/><Relationship Id="rId113" Type="http://schemas.openxmlformats.org/officeDocument/2006/relationships/control" Target="../activeX/activeX502.xml"/><Relationship Id="rId118" Type="http://schemas.openxmlformats.org/officeDocument/2006/relationships/control" Target="../activeX/activeX507.xml"/><Relationship Id="rId134" Type="http://schemas.openxmlformats.org/officeDocument/2006/relationships/control" Target="../activeX/activeX523.xml"/><Relationship Id="rId139" Type="http://schemas.openxmlformats.org/officeDocument/2006/relationships/control" Target="../activeX/activeX528.xml"/><Relationship Id="rId80" Type="http://schemas.openxmlformats.org/officeDocument/2006/relationships/control" Target="../activeX/activeX469.xml"/><Relationship Id="rId85" Type="http://schemas.openxmlformats.org/officeDocument/2006/relationships/control" Target="../activeX/activeX474.xml"/><Relationship Id="rId150" Type="http://schemas.openxmlformats.org/officeDocument/2006/relationships/control" Target="../activeX/activeX539.xml"/><Relationship Id="rId155" Type="http://schemas.openxmlformats.org/officeDocument/2006/relationships/control" Target="../activeX/activeX544.xml"/><Relationship Id="rId171" Type="http://schemas.openxmlformats.org/officeDocument/2006/relationships/control" Target="../activeX/activeX560.xml"/><Relationship Id="rId176" Type="http://schemas.openxmlformats.org/officeDocument/2006/relationships/control" Target="../activeX/activeX565.xml"/><Relationship Id="rId192" Type="http://schemas.openxmlformats.org/officeDocument/2006/relationships/control" Target="../activeX/activeX580.xml"/><Relationship Id="rId197" Type="http://schemas.openxmlformats.org/officeDocument/2006/relationships/comments" Target="../comments3.xml"/><Relationship Id="rId12" Type="http://schemas.openxmlformats.org/officeDocument/2006/relationships/control" Target="../activeX/activeX401.xml"/><Relationship Id="rId17" Type="http://schemas.openxmlformats.org/officeDocument/2006/relationships/control" Target="../activeX/activeX406.xml"/><Relationship Id="rId33" Type="http://schemas.openxmlformats.org/officeDocument/2006/relationships/control" Target="../activeX/activeX422.xml"/><Relationship Id="rId38" Type="http://schemas.openxmlformats.org/officeDocument/2006/relationships/control" Target="../activeX/activeX427.xml"/><Relationship Id="rId59" Type="http://schemas.openxmlformats.org/officeDocument/2006/relationships/control" Target="../activeX/activeX448.xml"/><Relationship Id="rId103" Type="http://schemas.openxmlformats.org/officeDocument/2006/relationships/control" Target="../activeX/activeX492.xml"/><Relationship Id="rId108" Type="http://schemas.openxmlformats.org/officeDocument/2006/relationships/control" Target="../activeX/activeX497.xml"/><Relationship Id="rId124" Type="http://schemas.openxmlformats.org/officeDocument/2006/relationships/control" Target="../activeX/activeX513.xml"/><Relationship Id="rId129" Type="http://schemas.openxmlformats.org/officeDocument/2006/relationships/control" Target="../activeX/activeX518.xml"/><Relationship Id="rId54" Type="http://schemas.openxmlformats.org/officeDocument/2006/relationships/control" Target="../activeX/activeX443.xml"/><Relationship Id="rId70" Type="http://schemas.openxmlformats.org/officeDocument/2006/relationships/control" Target="../activeX/activeX459.xml"/><Relationship Id="rId75" Type="http://schemas.openxmlformats.org/officeDocument/2006/relationships/control" Target="../activeX/activeX464.xml"/><Relationship Id="rId91" Type="http://schemas.openxmlformats.org/officeDocument/2006/relationships/control" Target="../activeX/activeX480.xml"/><Relationship Id="rId96" Type="http://schemas.openxmlformats.org/officeDocument/2006/relationships/control" Target="../activeX/activeX485.xml"/><Relationship Id="rId140" Type="http://schemas.openxmlformats.org/officeDocument/2006/relationships/control" Target="../activeX/activeX529.xml"/><Relationship Id="rId145" Type="http://schemas.openxmlformats.org/officeDocument/2006/relationships/control" Target="../activeX/activeX534.xml"/><Relationship Id="rId161" Type="http://schemas.openxmlformats.org/officeDocument/2006/relationships/control" Target="../activeX/activeX550.xml"/><Relationship Id="rId166" Type="http://schemas.openxmlformats.org/officeDocument/2006/relationships/control" Target="../activeX/activeX555.xml"/><Relationship Id="rId182" Type="http://schemas.openxmlformats.org/officeDocument/2006/relationships/control" Target="../activeX/activeX571.xml"/><Relationship Id="rId187" Type="http://schemas.openxmlformats.org/officeDocument/2006/relationships/control" Target="../activeX/activeX575.xml"/><Relationship Id="rId1" Type="http://schemas.openxmlformats.org/officeDocument/2006/relationships/drawing" Target="../drawings/drawing3.xml"/><Relationship Id="rId6" Type="http://schemas.openxmlformats.org/officeDocument/2006/relationships/control" Target="../activeX/activeX395.xml"/><Relationship Id="rId23" Type="http://schemas.openxmlformats.org/officeDocument/2006/relationships/control" Target="../activeX/activeX412.xml"/><Relationship Id="rId28" Type="http://schemas.openxmlformats.org/officeDocument/2006/relationships/control" Target="../activeX/activeX417.xml"/><Relationship Id="rId49" Type="http://schemas.openxmlformats.org/officeDocument/2006/relationships/control" Target="../activeX/activeX438.xml"/><Relationship Id="rId114" Type="http://schemas.openxmlformats.org/officeDocument/2006/relationships/control" Target="../activeX/activeX503.xml"/><Relationship Id="rId119" Type="http://schemas.openxmlformats.org/officeDocument/2006/relationships/control" Target="../activeX/activeX508.xml"/><Relationship Id="rId44" Type="http://schemas.openxmlformats.org/officeDocument/2006/relationships/control" Target="../activeX/activeX433.xml"/><Relationship Id="rId60" Type="http://schemas.openxmlformats.org/officeDocument/2006/relationships/control" Target="../activeX/activeX449.xml"/><Relationship Id="rId65" Type="http://schemas.openxmlformats.org/officeDocument/2006/relationships/control" Target="../activeX/activeX454.xml"/><Relationship Id="rId81" Type="http://schemas.openxmlformats.org/officeDocument/2006/relationships/control" Target="../activeX/activeX470.xml"/><Relationship Id="rId86" Type="http://schemas.openxmlformats.org/officeDocument/2006/relationships/control" Target="../activeX/activeX475.xml"/><Relationship Id="rId130" Type="http://schemas.openxmlformats.org/officeDocument/2006/relationships/control" Target="../activeX/activeX519.xml"/><Relationship Id="rId135" Type="http://schemas.openxmlformats.org/officeDocument/2006/relationships/control" Target="../activeX/activeX524.xml"/><Relationship Id="rId151" Type="http://schemas.openxmlformats.org/officeDocument/2006/relationships/control" Target="../activeX/activeX540.xml"/><Relationship Id="rId156" Type="http://schemas.openxmlformats.org/officeDocument/2006/relationships/control" Target="../activeX/activeX545.xml"/><Relationship Id="rId177" Type="http://schemas.openxmlformats.org/officeDocument/2006/relationships/control" Target="../activeX/activeX566.xml"/><Relationship Id="rId172" Type="http://schemas.openxmlformats.org/officeDocument/2006/relationships/control" Target="../activeX/activeX561.xml"/><Relationship Id="rId193" Type="http://schemas.openxmlformats.org/officeDocument/2006/relationships/control" Target="../activeX/activeX581.xml"/><Relationship Id="rId13" Type="http://schemas.openxmlformats.org/officeDocument/2006/relationships/control" Target="../activeX/activeX402.xml"/><Relationship Id="rId18" Type="http://schemas.openxmlformats.org/officeDocument/2006/relationships/control" Target="../activeX/activeX407.xml"/><Relationship Id="rId39" Type="http://schemas.openxmlformats.org/officeDocument/2006/relationships/control" Target="../activeX/activeX428.xml"/><Relationship Id="rId109" Type="http://schemas.openxmlformats.org/officeDocument/2006/relationships/control" Target="../activeX/activeX498.xml"/><Relationship Id="rId34" Type="http://schemas.openxmlformats.org/officeDocument/2006/relationships/control" Target="../activeX/activeX423.xml"/><Relationship Id="rId50" Type="http://schemas.openxmlformats.org/officeDocument/2006/relationships/control" Target="../activeX/activeX439.xml"/><Relationship Id="rId55" Type="http://schemas.openxmlformats.org/officeDocument/2006/relationships/control" Target="../activeX/activeX444.xml"/><Relationship Id="rId76" Type="http://schemas.openxmlformats.org/officeDocument/2006/relationships/control" Target="../activeX/activeX465.xml"/><Relationship Id="rId97" Type="http://schemas.openxmlformats.org/officeDocument/2006/relationships/control" Target="../activeX/activeX486.xml"/><Relationship Id="rId104" Type="http://schemas.openxmlformats.org/officeDocument/2006/relationships/control" Target="../activeX/activeX493.xml"/><Relationship Id="rId120" Type="http://schemas.openxmlformats.org/officeDocument/2006/relationships/control" Target="../activeX/activeX509.xml"/><Relationship Id="rId125" Type="http://schemas.openxmlformats.org/officeDocument/2006/relationships/control" Target="../activeX/activeX514.xml"/><Relationship Id="rId141" Type="http://schemas.openxmlformats.org/officeDocument/2006/relationships/control" Target="../activeX/activeX530.xml"/><Relationship Id="rId146" Type="http://schemas.openxmlformats.org/officeDocument/2006/relationships/control" Target="../activeX/activeX535.xml"/><Relationship Id="rId167" Type="http://schemas.openxmlformats.org/officeDocument/2006/relationships/control" Target="../activeX/activeX556.xml"/><Relationship Id="rId188" Type="http://schemas.openxmlformats.org/officeDocument/2006/relationships/control" Target="../activeX/activeX576.xml"/><Relationship Id="rId7" Type="http://schemas.openxmlformats.org/officeDocument/2006/relationships/control" Target="../activeX/activeX396.xml"/><Relationship Id="rId71" Type="http://schemas.openxmlformats.org/officeDocument/2006/relationships/control" Target="../activeX/activeX460.xml"/><Relationship Id="rId92" Type="http://schemas.openxmlformats.org/officeDocument/2006/relationships/control" Target="../activeX/activeX481.xml"/><Relationship Id="rId162" Type="http://schemas.openxmlformats.org/officeDocument/2006/relationships/control" Target="../activeX/activeX551.xml"/><Relationship Id="rId183" Type="http://schemas.openxmlformats.org/officeDocument/2006/relationships/image" Target="../media/image2.emf"/><Relationship Id="rId2" Type="http://schemas.openxmlformats.org/officeDocument/2006/relationships/vmlDrawing" Target="../drawings/vmlDrawing3.vml"/><Relationship Id="rId29" Type="http://schemas.openxmlformats.org/officeDocument/2006/relationships/control" Target="../activeX/activeX418.xml"/><Relationship Id="rId24" Type="http://schemas.openxmlformats.org/officeDocument/2006/relationships/control" Target="../activeX/activeX413.xml"/><Relationship Id="rId40" Type="http://schemas.openxmlformats.org/officeDocument/2006/relationships/control" Target="../activeX/activeX429.xml"/><Relationship Id="rId45" Type="http://schemas.openxmlformats.org/officeDocument/2006/relationships/control" Target="../activeX/activeX434.xml"/><Relationship Id="rId66" Type="http://schemas.openxmlformats.org/officeDocument/2006/relationships/control" Target="../activeX/activeX455.xml"/><Relationship Id="rId87" Type="http://schemas.openxmlformats.org/officeDocument/2006/relationships/control" Target="../activeX/activeX476.xml"/><Relationship Id="rId110" Type="http://schemas.openxmlformats.org/officeDocument/2006/relationships/control" Target="../activeX/activeX499.xml"/><Relationship Id="rId115" Type="http://schemas.openxmlformats.org/officeDocument/2006/relationships/control" Target="../activeX/activeX504.xml"/><Relationship Id="rId131" Type="http://schemas.openxmlformats.org/officeDocument/2006/relationships/control" Target="../activeX/activeX520.xml"/><Relationship Id="rId136" Type="http://schemas.openxmlformats.org/officeDocument/2006/relationships/control" Target="../activeX/activeX525.xml"/><Relationship Id="rId157" Type="http://schemas.openxmlformats.org/officeDocument/2006/relationships/control" Target="../activeX/activeX546.xml"/><Relationship Id="rId178" Type="http://schemas.openxmlformats.org/officeDocument/2006/relationships/control" Target="../activeX/activeX567.xml"/><Relationship Id="rId61" Type="http://schemas.openxmlformats.org/officeDocument/2006/relationships/control" Target="../activeX/activeX450.xml"/><Relationship Id="rId82" Type="http://schemas.openxmlformats.org/officeDocument/2006/relationships/control" Target="../activeX/activeX471.xml"/><Relationship Id="rId152" Type="http://schemas.openxmlformats.org/officeDocument/2006/relationships/control" Target="../activeX/activeX541.xml"/><Relationship Id="rId173" Type="http://schemas.openxmlformats.org/officeDocument/2006/relationships/control" Target="../activeX/activeX562.xml"/><Relationship Id="rId194" Type="http://schemas.openxmlformats.org/officeDocument/2006/relationships/control" Target="../activeX/activeX582.xml"/><Relationship Id="rId19" Type="http://schemas.openxmlformats.org/officeDocument/2006/relationships/control" Target="../activeX/activeX408.xml"/><Relationship Id="rId14" Type="http://schemas.openxmlformats.org/officeDocument/2006/relationships/control" Target="../activeX/activeX403.xml"/><Relationship Id="rId30" Type="http://schemas.openxmlformats.org/officeDocument/2006/relationships/control" Target="../activeX/activeX419.xml"/><Relationship Id="rId35" Type="http://schemas.openxmlformats.org/officeDocument/2006/relationships/control" Target="../activeX/activeX424.xml"/><Relationship Id="rId56" Type="http://schemas.openxmlformats.org/officeDocument/2006/relationships/control" Target="../activeX/activeX445.xml"/><Relationship Id="rId77" Type="http://schemas.openxmlformats.org/officeDocument/2006/relationships/control" Target="../activeX/activeX466.xml"/><Relationship Id="rId100" Type="http://schemas.openxmlformats.org/officeDocument/2006/relationships/control" Target="../activeX/activeX489.xml"/><Relationship Id="rId105" Type="http://schemas.openxmlformats.org/officeDocument/2006/relationships/control" Target="../activeX/activeX494.xml"/><Relationship Id="rId126" Type="http://schemas.openxmlformats.org/officeDocument/2006/relationships/control" Target="../activeX/activeX515.xml"/><Relationship Id="rId147" Type="http://schemas.openxmlformats.org/officeDocument/2006/relationships/control" Target="../activeX/activeX536.xml"/><Relationship Id="rId168" Type="http://schemas.openxmlformats.org/officeDocument/2006/relationships/control" Target="../activeX/activeX557.xml"/><Relationship Id="rId8" Type="http://schemas.openxmlformats.org/officeDocument/2006/relationships/control" Target="../activeX/activeX397.xml"/><Relationship Id="rId51" Type="http://schemas.openxmlformats.org/officeDocument/2006/relationships/control" Target="../activeX/activeX440.xml"/><Relationship Id="rId72" Type="http://schemas.openxmlformats.org/officeDocument/2006/relationships/control" Target="../activeX/activeX461.xml"/><Relationship Id="rId93" Type="http://schemas.openxmlformats.org/officeDocument/2006/relationships/control" Target="../activeX/activeX482.xml"/><Relationship Id="rId98" Type="http://schemas.openxmlformats.org/officeDocument/2006/relationships/control" Target="../activeX/activeX487.xml"/><Relationship Id="rId121" Type="http://schemas.openxmlformats.org/officeDocument/2006/relationships/control" Target="../activeX/activeX510.xml"/><Relationship Id="rId142" Type="http://schemas.openxmlformats.org/officeDocument/2006/relationships/control" Target="../activeX/activeX531.xml"/><Relationship Id="rId163" Type="http://schemas.openxmlformats.org/officeDocument/2006/relationships/control" Target="../activeX/activeX552.xml"/><Relationship Id="rId184" Type="http://schemas.openxmlformats.org/officeDocument/2006/relationships/control" Target="../activeX/activeX572.xml"/><Relationship Id="rId189" Type="http://schemas.openxmlformats.org/officeDocument/2006/relationships/control" Target="../activeX/activeX577.xml"/><Relationship Id="rId3" Type="http://schemas.openxmlformats.org/officeDocument/2006/relationships/control" Target="../activeX/activeX393.xml"/><Relationship Id="rId25" Type="http://schemas.openxmlformats.org/officeDocument/2006/relationships/control" Target="../activeX/activeX414.xml"/><Relationship Id="rId46" Type="http://schemas.openxmlformats.org/officeDocument/2006/relationships/control" Target="../activeX/activeX435.xml"/><Relationship Id="rId67" Type="http://schemas.openxmlformats.org/officeDocument/2006/relationships/control" Target="../activeX/activeX456.xml"/><Relationship Id="rId116" Type="http://schemas.openxmlformats.org/officeDocument/2006/relationships/control" Target="../activeX/activeX505.xml"/><Relationship Id="rId137" Type="http://schemas.openxmlformats.org/officeDocument/2006/relationships/control" Target="../activeX/activeX526.xml"/><Relationship Id="rId158" Type="http://schemas.openxmlformats.org/officeDocument/2006/relationships/control" Target="../activeX/activeX547.xml"/><Relationship Id="rId20" Type="http://schemas.openxmlformats.org/officeDocument/2006/relationships/control" Target="../activeX/activeX409.xml"/><Relationship Id="rId41" Type="http://schemas.openxmlformats.org/officeDocument/2006/relationships/control" Target="../activeX/activeX430.xml"/><Relationship Id="rId62" Type="http://schemas.openxmlformats.org/officeDocument/2006/relationships/control" Target="../activeX/activeX451.xml"/><Relationship Id="rId83" Type="http://schemas.openxmlformats.org/officeDocument/2006/relationships/control" Target="../activeX/activeX472.xml"/><Relationship Id="rId88" Type="http://schemas.openxmlformats.org/officeDocument/2006/relationships/control" Target="../activeX/activeX477.xml"/><Relationship Id="rId111" Type="http://schemas.openxmlformats.org/officeDocument/2006/relationships/control" Target="../activeX/activeX500.xml"/><Relationship Id="rId132" Type="http://schemas.openxmlformats.org/officeDocument/2006/relationships/control" Target="../activeX/activeX521.xml"/><Relationship Id="rId153" Type="http://schemas.openxmlformats.org/officeDocument/2006/relationships/control" Target="../activeX/activeX542.xml"/><Relationship Id="rId174" Type="http://schemas.openxmlformats.org/officeDocument/2006/relationships/control" Target="../activeX/activeX563.xml"/><Relationship Id="rId179" Type="http://schemas.openxmlformats.org/officeDocument/2006/relationships/control" Target="../activeX/activeX568.xml"/><Relationship Id="rId195" Type="http://schemas.openxmlformats.org/officeDocument/2006/relationships/control" Target="../activeX/activeX583.xml"/><Relationship Id="rId190" Type="http://schemas.openxmlformats.org/officeDocument/2006/relationships/control" Target="../activeX/activeX578.xml"/><Relationship Id="rId15" Type="http://schemas.openxmlformats.org/officeDocument/2006/relationships/control" Target="../activeX/activeX404.xml"/><Relationship Id="rId36" Type="http://schemas.openxmlformats.org/officeDocument/2006/relationships/control" Target="../activeX/activeX425.xml"/><Relationship Id="rId57" Type="http://schemas.openxmlformats.org/officeDocument/2006/relationships/control" Target="../activeX/activeX446.xml"/><Relationship Id="rId106" Type="http://schemas.openxmlformats.org/officeDocument/2006/relationships/control" Target="../activeX/activeX495.xml"/><Relationship Id="rId127" Type="http://schemas.openxmlformats.org/officeDocument/2006/relationships/control" Target="../activeX/activeX516.xml"/><Relationship Id="rId10" Type="http://schemas.openxmlformats.org/officeDocument/2006/relationships/control" Target="../activeX/activeX399.xml"/><Relationship Id="rId31" Type="http://schemas.openxmlformats.org/officeDocument/2006/relationships/control" Target="../activeX/activeX420.xml"/><Relationship Id="rId52" Type="http://schemas.openxmlformats.org/officeDocument/2006/relationships/control" Target="../activeX/activeX441.xml"/><Relationship Id="rId73" Type="http://schemas.openxmlformats.org/officeDocument/2006/relationships/control" Target="../activeX/activeX462.xml"/><Relationship Id="rId78" Type="http://schemas.openxmlformats.org/officeDocument/2006/relationships/control" Target="../activeX/activeX467.xml"/><Relationship Id="rId94" Type="http://schemas.openxmlformats.org/officeDocument/2006/relationships/control" Target="../activeX/activeX483.xml"/><Relationship Id="rId99" Type="http://schemas.openxmlformats.org/officeDocument/2006/relationships/control" Target="../activeX/activeX488.xml"/><Relationship Id="rId101" Type="http://schemas.openxmlformats.org/officeDocument/2006/relationships/control" Target="../activeX/activeX490.xml"/><Relationship Id="rId122" Type="http://schemas.openxmlformats.org/officeDocument/2006/relationships/control" Target="../activeX/activeX511.xml"/><Relationship Id="rId143" Type="http://schemas.openxmlformats.org/officeDocument/2006/relationships/control" Target="../activeX/activeX532.xml"/><Relationship Id="rId148" Type="http://schemas.openxmlformats.org/officeDocument/2006/relationships/control" Target="../activeX/activeX537.xml"/><Relationship Id="rId164" Type="http://schemas.openxmlformats.org/officeDocument/2006/relationships/control" Target="../activeX/activeX553.xml"/><Relationship Id="rId169" Type="http://schemas.openxmlformats.org/officeDocument/2006/relationships/control" Target="../activeX/activeX558.xml"/><Relationship Id="rId185" Type="http://schemas.openxmlformats.org/officeDocument/2006/relationships/control" Target="../activeX/activeX573.xml"/><Relationship Id="rId4" Type="http://schemas.openxmlformats.org/officeDocument/2006/relationships/image" Target="../media/image1.emf"/><Relationship Id="rId9" Type="http://schemas.openxmlformats.org/officeDocument/2006/relationships/control" Target="../activeX/activeX398.xml"/><Relationship Id="rId180" Type="http://schemas.openxmlformats.org/officeDocument/2006/relationships/control" Target="../activeX/activeX569.xml"/><Relationship Id="rId26" Type="http://schemas.openxmlformats.org/officeDocument/2006/relationships/control" Target="../activeX/activeX41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activeCell="E7" sqref="E7"/>
    </sheetView>
  </sheetViews>
  <sheetFormatPr defaultRowHeight="15"/>
  <cols>
    <col min="1" max="3" width="13.7109375" customWidth="1"/>
    <col min="4" max="4" width="24.5703125" customWidth="1"/>
    <col min="5" max="5" width="20.7109375" customWidth="1"/>
  </cols>
  <sheetData>
    <row r="1" spans="1:5">
      <c r="A1" s="70" t="s">
        <v>116</v>
      </c>
      <c r="B1" s="70" t="s">
        <v>117</v>
      </c>
      <c r="C1" s="70" t="s">
        <v>118</v>
      </c>
      <c r="D1" s="70" t="s">
        <v>119</v>
      </c>
      <c r="E1" s="70" t="s">
        <v>120</v>
      </c>
    </row>
    <row r="2" spans="1:5">
      <c r="A2" s="68">
        <v>1</v>
      </c>
      <c r="B2" s="68" t="s">
        <v>121</v>
      </c>
      <c r="C2" s="69">
        <v>43699</v>
      </c>
      <c r="D2" s="68" t="s">
        <v>122</v>
      </c>
      <c r="E2" s="68" t="s">
        <v>123</v>
      </c>
    </row>
    <row r="3" spans="1:5">
      <c r="A3" s="68"/>
      <c r="B3" s="68"/>
      <c r="C3" s="68"/>
      <c r="D3" s="68"/>
      <c r="E3" s="68"/>
    </row>
    <row r="4" spans="1:5">
      <c r="A4" s="68"/>
      <c r="B4" s="68"/>
      <c r="C4" s="68"/>
      <c r="D4" s="68"/>
      <c r="E4" s="68"/>
    </row>
    <row r="5" spans="1:5">
      <c r="A5" s="68"/>
      <c r="B5" s="68"/>
      <c r="C5" s="68"/>
      <c r="D5" s="68"/>
      <c r="E5" s="68"/>
    </row>
    <row r="6" spans="1:5">
      <c r="A6" s="68"/>
      <c r="B6" s="68"/>
      <c r="C6" s="68"/>
      <c r="D6" s="68"/>
      <c r="E6" s="68"/>
    </row>
    <row r="7" spans="1:5">
      <c r="A7" s="68"/>
      <c r="B7" s="68"/>
      <c r="C7" s="68"/>
      <c r="D7" s="68"/>
      <c r="E7" s="68"/>
    </row>
    <row r="8" spans="1:5">
      <c r="A8" s="68"/>
      <c r="B8" s="68"/>
      <c r="C8" s="68"/>
      <c r="D8" s="68"/>
      <c r="E8" s="68"/>
    </row>
    <row r="9" spans="1:5">
      <c r="A9" s="68"/>
      <c r="B9" s="68"/>
      <c r="C9" s="68"/>
      <c r="D9" s="68"/>
      <c r="E9" s="68"/>
    </row>
    <row r="10" spans="1:5">
      <c r="A10" s="68"/>
      <c r="B10" s="68"/>
      <c r="C10" s="68"/>
      <c r="D10" s="68"/>
      <c r="E10" s="68"/>
    </row>
    <row r="11" spans="1:5">
      <c r="A11" s="68"/>
      <c r="B11" s="68"/>
      <c r="C11" s="68"/>
      <c r="D11" s="68"/>
      <c r="E11" s="68"/>
    </row>
    <row r="12" spans="1:5">
      <c r="A12" s="68"/>
      <c r="B12" s="68"/>
      <c r="C12" s="68"/>
      <c r="D12" s="68"/>
      <c r="E12" s="68"/>
    </row>
    <row r="13" spans="1:5">
      <c r="A13" s="68"/>
      <c r="B13" s="68"/>
      <c r="C13" s="68"/>
      <c r="D13" s="68"/>
      <c r="E13" s="68"/>
    </row>
    <row r="14" spans="1:5">
      <c r="A14" s="68"/>
      <c r="B14" s="68"/>
      <c r="C14" s="68"/>
      <c r="D14" s="68"/>
      <c r="E14" s="68"/>
    </row>
    <row r="15" spans="1:5">
      <c r="A15" s="68"/>
      <c r="B15" s="68"/>
      <c r="C15" s="68"/>
      <c r="D15" s="68"/>
      <c r="E15" s="68"/>
    </row>
    <row r="16" spans="1:5">
      <c r="A16" s="68"/>
      <c r="B16" s="68"/>
      <c r="C16" s="68"/>
      <c r="D16" s="68"/>
      <c r="E16" s="68"/>
    </row>
    <row r="17" spans="1:5">
      <c r="A17" s="68"/>
      <c r="B17" s="68"/>
      <c r="C17" s="68"/>
      <c r="D17" s="68"/>
      <c r="E17" s="68"/>
    </row>
    <row r="18" spans="1:5">
      <c r="A18" s="68"/>
      <c r="B18" s="68"/>
      <c r="C18" s="68"/>
      <c r="D18" s="68"/>
      <c r="E18" s="68"/>
    </row>
    <row r="19" spans="1:5">
      <c r="A19" s="68"/>
      <c r="B19" s="68"/>
      <c r="C19" s="68"/>
      <c r="D19" s="68"/>
      <c r="E19" s="68"/>
    </row>
    <row r="20" spans="1:5">
      <c r="A20" s="68"/>
      <c r="B20" s="68"/>
      <c r="C20" s="68"/>
      <c r="D20" s="68"/>
      <c r="E20" s="68"/>
    </row>
    <row r="21" spans="1:5">
      <c r="A21" s="68"/>
      <c r="B21" s="68"/>
      <c r="C21" s="68"/>
      <c r="D21" s="68"/>
      <c r="E21" s="68"/>
    </row>
    <row r="22" spans="1:5">
      <c r="A22" s="68"/>
      <c r="B22" s="68"/>
      <c r="C22" s="68"/>
      <c r="D22" s="68"/>
      <c r="E22" s="68"/>
    </row>
    <row r="23" spans="1:5">
      <c r="A23" s="68"/>
      <c r="B23" s="68"/>
      <c r="C23" s="68"/>
      <c r="D23" s="68"/>
      <c r="E23" s="68"/>
    </row>
    <row r="24" spans="1:5">
      <c r="A24" s="68"/>
      <c r="B24" s="68"/>
      <c r="C24" s="68"/>
      <c r="D24" s="68"/>
      <c r="E24" s="68"/>
    </row>
    <row r="25" spans="1:5">
      <c r="A25" s="68"/>
      <c r="B25" s="68"/>
      <c r="C25" s="68"/>
      <c r="D25" s="68"/>
      <c r="E25" s="6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D27"/>
  <sheetViews>
    <sheetView workbookViewId="0">
      <selection activeCell="AB35" sqref="AB35"/>
    </sheetView>
  </sheetViews>
  <sheetFormatPr defaultRowHeight="15"/>
  <cols>
    <col min="1" max="1" width="23.28515625" customWidth="1"/>
    <col min="13" max="13" width="14.7109375" customWidth="1"/>
    <col min="14" max="14" width="14.7109375" style="97" customWidth="1"/>
    <col min="25" max="27" width="9.140625" style="97"/>
  </cols>
  <sheetData>
    <row r="2" spans="1:30" ht="15.75" thickBot="1">
      <c r="A2" t="s">
        <v>124</v>
      </c>
    </row>
    <row r="3" spans="1:30" ht="15.75" thickBot="1">
      <c r="A3" s="71" t="s">
        <v>125</v>
      </c>
      <c r="B3" s="72" t="s">
        <v>126</v>
      </c>
      <c r="C3" s="72" t="s">
        <v>127</v>
      </c>
      <c r="D3" s="72" t="s">
        <v>128</v>
      </c>
    </row>
    <row r="4" spans="1:30" ht="16.5" thickTop="1" thickBot="1">
      <c r="A4" s="73" t="s">
        <v>129</v>
      </c>
      <c r="B4" s="74">
        <v>655</v>
      </c>
      <c r="C4" s="74">
        <v>20000</v>
      </c>
      <c r="D4" s="74">
        <v>39000</v>
      </c>
    </row>
    <row r="5" spans="1:30" ht="15.75" thickBot="1">
      <c r="A5" s="73" t="s">
        <v>130</v>
      </c>
      <c r="B5" s="75">
        <v>0.26</v>
      </c>
      <c r="C5" s="75">
        <v>0.67</v>
      </c>
      <c r="D5" s="75">
        <v>0.85</v>
      </c>
    </row>
    <row r="6" spans="1:30" ht="15.75" thickBot="1">
      <c r="A6" s="73" t="s">
        <v>131</v>
      </c>
      <c r="B6" s="74">
        <v>6</v>
      </c>
      <c r="C6" s="74">
        <v>10</v>
      </c>
      <c r="D6" s="74">
        <v>3.5</v>
      </c>
    </row>
    <row r="7" spans="1:30" ht="15.75" thickBot="1">
      <c r="A7" s="73" t="s">
        <v>132</v>
      </c>
      <c r="B7" s="75">
        <v>230</v>
      </c>
      <c r="C7" s="75">
        <v>290</v>
      </c>
      <c r="D7" s="75">
        <v>290</v>
      </c>
    </row>
    <row r="8" spans="1:30" ht="15.75" thickBot="1">
      <c r="A8" s="73" t="s">
        <v>133</v>
      </c>
      <c r="B8" s="75">
        <v>64</v>
      </c>
      <c r="C8" s="75">
        <v>79</v>
      </c>
      <c r="D8" s="75">
        <v>78</v>
      </c>
      <c r="Y8" t="s">
        <v>193</v>
      </c>
      <c r="Z8" t="s">
        <v>192</v>
      </c>
      <c r="AA8" t="s">
        <v>194</v>
      </c>
    </row>
    <row r="9" spans="1:30">
      <c r="A9" s="77"/>
      <c r="B9" s="82"/>
      <c r="C9" s="82"/>
      <c r="D9" s="82"/>
      <c r="G9" t="s">
        <v>141</v>
      </c>
      <c r="H9" t="s">
        <v>141</v>
      </c>
      <c r="I9" t="s">
        <v>141</v>
      </c>
      <c r="K9" s="82"/>
      <c r="L9" s="82"/>
      <c r="M9" s="97"/>
      <c r="O9" s="78" t="s">
        <v>183</v>
      </c>
      <c r="P9" s="78" t="s">
        <v>97</v>
      </c>
      <c r="Q9" s="78" t="s">
        <v>94</v>
      </c>
      <c r="R9" s="78" t="s">
        <v>98</v>
      </c>
      <c r="S9" s="78" t="s">
        <v>89</v>
      </c>
      <c r="T9" s="78" t="s">
        <v>86</v>
      </c>
      <c r="U9" s="78" t="s">
        <v>87</v>
      </c>
      <c r="V9" s="78" t="s">
        <v>88</v>
      </c>
      <c r="W9" s="78" t="s">
        <v>85</v>
      </c>
      <c r="X9" s="78" t="s">
        <v>184</v>
      </c>
      <c r="Y9" s="78" t="s">
        <v>185</v>
      </c>
      <c r="Z9" s="78" t="s">
        <v>186</v>
      </c>
      <c r="AA9" s="78" t="s">
        <v>101</v>
      </c>
      <c r="AB9" s="78" t="s">
        <v>102</v>
      </c>
      <c r="AC9" s="79" t="s">
        <v>136</v>
      </c>
      <c r="AD9" s="79" t="s">
        <v>137</v>
      </c>
    </row>
    <row r="10" spans="1:30" hidden="1">
      <c r="A10" s="77"/>
      <c r="B10" s="82"/>
      <c r="C10" s="82"/>
      <c r="D10" s="82"/>
      <c r="E10" t="s">
        <v>143</v>
      </c>
      <c r="F10" t="s">
        <v>143</v>
      </c>
      <c r="G10" t="s">
        <v>142</v>
      </c>
      <c r="H10" t="s">
        <v>142</v>
      </c>
      <c r="I10" t="s">
        <v>142</v>
      </c>
      <c r="K10" s="82"/>
      <c r="L10" s="82"/>
      <c r="M10" s="97" t="s">
        <v>182</v>
      </c>
      <c r="O10" s="97"/>
      <c r="P10" s="97"/>
      <c r="Q10" s="97"/>
      <c r="R10" s="97"/>
      <c r="S10" s="97"/>
      <c r="T10" s="97"/>
      <c r="U10" s="97"/>
      <c r="V10" s="97"/>
      <c r="W10" s="97"/>
      <c r="X10" s="97"/>
      <c r="Y10" s="97">
        <v>1007422</v>
      </c>
      <c r="Z10" s="97">
        <v>1007423</v>
      </c>
      <c r="AA10" s="97">
        <v>1003007</v>
      </c>
      <c r="AB10" s="97">
        <v>1007430</v>
      </c>
      <c r="AC10" s="97">
        <v>1002999</v>
      </c>
      <c r="AD10" s="97">
        <v>1003012</v>
      </c>
    </row>
    <row r="11" spans="1:30">
      <c r="C11" t="s">
        <v>182</v>
      </c>
      <c r="D11" t="s">
        <v>138</v>
      </c>
      <c r="E11" t="s">
        <v>139</v>
      </c>
      <c r="F11" t="s">
        <v>140</v>
      </c>
      <c r="G11" t="s">
        <v>139</v>
      </c>
      <c r="H11" t="s">
        <v>140</v>
      </c>
      <c r="I11" t="s">
        <v>144</v>
      </c>
      <c r="K11" s="82"/>
      <c r="L11" s="82"/>
      <c r="M11" s="97" t="s">
        <v>138</v>
      </c>
      <c r="O11" s="97">
        <v>36.615000000000002</v>
      </c>
      <c r="P11" s="97">
        <v>226.55</v>
      </c>
      <c r="Q11" s="97">
        <v>182.75</v>
      </c>
      <c r="R11" s="97">
        <v>517.85</v>
      </c>
      <c r="S11" s="97">
        <v>708.95</v>
      </c>
      <c r="T11" s="97">
        <v>85.35</v>
      </c>
      <c r="U11" s="97">
        <v>89.55</v>
      </c>
      <c r="V11" s="97">
        <v>87.45</v>
      </c>
      <c r="W11" s="80">
        <v>5238.5</v>
      </c>
      <c r="X11" s="97">
        <v>6.875</v>
      </c>
      <c r="Y11" s="97">
        <v>55.15</v>
      </c>
      <c r="Z11" s="97">
        <v>25.585000000000001</v>
      </c>
      <c r="AA11" s="97">
        <v>4.7750000000000004</v>
      </c>
      <c r="AB11" s="97">
        <v>380.85</v>
      </c>
      <c r="AC11" s="99">
        <v>4.3250000000000002</v>
      </c>
      <c r="AD11" s="97">
        <v>2.75</v>
      </c>
    </row>
    <row r="12" spans="1:30">
      <c r="B12" s="78" t="s">
        <v>183</v>
      </c>
      <c r="D12">
        <v>36.615000000000002</v>
      </c>
      <c r="E12">
        <v>36.619999999999997</v>
      </c>
      <c r="F12">
        <v>36.61</v>
      </c>
      <c r="G12" s="83">
        <f t="shared" ref="G12:G21" si="0">(E12-$D12)/$D12*100</f>
        <v>1.3655605626097097E-2</v>
      </c>
      <c r="H12" s="83">
        <f t="shared" ref="H12:H21" si="1">(F12-$D12)/$D12*100</f>
        <v>-1.3655605626116502E-2</v>
      </c>
      <c r="I12" s="83">
        <f t="shared" ref="I12:I20" si="2">G12-H12</f>
        <v>2.7311211252213599E-2</v>
      </c>
      <c r="K12" s="97"/>
      <c r="L12" s="97" t="s">
        <v>143</v>
      </c>
      <c r="M12" s="97" t="s">
        <v>139</v>
      </c>
      <c r="O12" s="97">
        <v>36.619999999999997</v>
      </c>
      <c r="P12" s="97">
        <v>226.6</v>
      </c>
      <c r="Q12" s="97">
        <v>182.8</v>
      </c>
      <c r="R12" s="97">
        <v>517.9</v>
      </c>
      <c r="S12" s="97">
        <v>709</v>
      </c>
      <c r="T12" s="97">
        <v>85.4</v>
      </c>
      <c r="U12" s="97">
        <v>89.6</v>
      </c>
      <c r="V12" s="97">
        <v>87.5</v>
      </c>
      <c r="W12" s="97">
        <v>5239</v>
      </c>
      <c r="X12" s="97">
        <v>6.88</v>
      </c>
      <c r="Y12" s="97">
        <v>55.2</v>
      </c>
      <c r="Z12" s="97">
        <v>25.59</v>
      </c>
      <c r="AA12" s="97">
        <v>4.78</v>
      </c>
      <c r="AB12" s="97">
        <v>380.9</v>
      </c>
      <c r="AC12" s="81">
        <v>4.33</v>
      </c>
      <c r="AD12" s="97">
        <v>2.8</v>
      </c>
    </row>
    <row r="13" spans="1:30">
      <c r="B13" s="78" t="s">
        <v>97</v>
      </c>
      <c r="D13">
        <v>226.55</v>
      </c>
      <c r="E13">
        <v>226.6</v>
      </c>
      <c r="F13">
        <v>226.5</v>
      </c>
      <c r="G13" s="83">
        <f t="shared" si="0"/>
        <v>2.2070183182512887E-2</v>
      </c>
      <c r="H13" s="83">
        <f t="shared" si="1"/>
        <v>-2.2070183182525432E-2</v>
      </c>
      <c r="I13" s="83">
        <f t="shared" si="2"/>
        <v>4.4140366365038319E-2</v>
      </c>
      <c r="K13" s="97"/>
      <c r="L13" s="97" t="s">
        <v>143</v>
      </c>
      <c r="M13" s="97" t="s">
        <v>140</v>
      </c>
      <c r="O13" s="97">
        <v>36.61</v>
      </c>
      <c r="P13" s="97">
        <v>226.5</v>
      </c>
      <c r="Q13" s="97">
        <v>182.7</v>
      </c>
      <c r="R13" s="97">
        <v>517.79999999999995</v>
      </c>
      <c r="S13" s="97">
        <v>708.9</v>
      </c>
      <c r="T13" s="97">
        <v>85.3</v>
      </c>
      <c r="U13" s="97">
        <v>89.5</v>
      </c>
      <c r="V13" s="97">
        <v>87.4</v>
      </c>
      <c r="W13" s="97">
        <v>5238</v>
      </c>
      <c r="X13" s="97">
        <v>6.87</v>
      </c>
      <c r="Y13" s="97">
        <v>55.1</v>
      </c>
      <c r="Z13" s="97">
        <v>25.58</v>
      </c>
      <c r="AA13" s="97">
        <v>4.7699999999999996</v>
      </c>
      <c r="AB13" s="97">
        <v>380.8</v>
      </c>
      <c r="AC13" s="81">
        <v>4.32</v>
      </c>
      <c r="AD13" s="97">
        <v>2.7</v>
      </c>
    </row>
    <row r="14" spans="1:30">
      <c r="B14" s="78" t="s">
        <v>94</v>
      </c>
      <c r="D14">
        <v>182.75</v>
      </c>
      <c r="E14">
        <v>182.8</v>
      </c>
      <c r="F14">
        <v>182.7</v>
      </c>
      <c r="G14" s="83">
        <f t="shared" si="0"/>
        <v>2.735978112175725E-2</v>
      </c>
      <c r="H14" s="83">
        <f t="shared" si="1"/>
        <v>-2.735978112175725E-2</v>
      </c>
      <c r="I14" s="83">
        <f t="shared" si="2"/>
        <v>5.47195622435145E-2</v>
      </c>
      <c r="K14" s="97" t="s">
        <v>141</v>
      </c>
      <c r="L14" s="97" t="s">
        <v>142</v>
      </c>
      <c r="M14" s="97" t="s">
        <v>139</v>
      </c>
      <c r="O14" s="83">
        <f>(O12-O$11)/O$11*100</f>
        <v>1.3655605626097097E-2</v>
      </c>
      <c r="P14" s="83">
        <f>(P12-P$11)/(273.15+P$11)*100</f>
        <v>1.0006003602157884E-2</v>
      </c>
      <c r="Q14" s="83">
        <f>(Q12-Q$11)/Q$11*100</f>
        <v>2.735978112175725E-2</v>
      </c>
      <c r="R14" s="83">
        <f>(R12-R$11)/(273.15+R$11)*100</f>
        <v>6.3211125157970321E-3</v>
      </c>
      <c r="S14" s="83">
        <f>(S12-S$11)/(273.15+S$11)*100</f>
        <v>5.0911312493589784E-3</v>
      </c>
      <c r="T14" s="83">
        <f t="shared" ref="T14:AA15" si="3">(T12-T$11)/T$11*100</f>
        <v>5.8582308142954155E-2</v>
      </c>
      <c r="U14" s="83">
        <f t="shared" si="3"/>
        <v>5.5834729201560199E-2</v>
      </c>
      <c r="V14" s="83">
        <f t="shared" si="3"/>
        <v>5.7175528873638831E-2</v>
      </c>
      <c r="W14" s="83">
        <f t="shared" si="3"/>
        <v>9.5447169991409748E-3</v>
      </c>
      <c r="X14" s="83">
        <f t="shared" si="3"/>
        <v>7.2727272727271169E-2</v>
      </c>
      <c r="Y14" s="83">
        <f t="shared" si="3"/>
        <v>9.0661831369001383E-2</v>
      </c>
      <c r="Z14" s="83">
        <f t="shared" si="3"/>
        <v>1.9542700801246846E-2</v>
      </c>
      <c r="AA14" s="83">
        <f t="shared" si="3"/>
        <v>0.10471204188481451</v>
      </c>
      <c r="AB14" s="83">
        <f>(AB12-AB$11)/(273.15+AB$11)*100</f>
        <v>7.6452599388309676E-3</v>
      </c>
      <c r="AC14" s="83">
        <f>(AC12-AC$11)/AC$11*100</f>
        <v>0.11560693641618251</v>
      </c>
      <c r="AD14" s="83">
        <f>(AD12-AD$11)/(273.15+AD$11)*100</f>
        <v>1.8122508155128607E-2</v>
      </c>
    </row>
    <row r="15" spans="1:30">
      <c r="B15" s="78" t="s">
        <v>98</v>
      </c>
      <c r="D15">
        <v>517.85</v>
      </c>
      <c r="E15">
        <v>517.9</v>
      </c>
      <c r="F15">
        <v>517.79999999999995</v>
      </c>
      <c r="G15" s="83">
        <f t="shared" si="0"/>
        <v>9.6553055904131553E-3</v>
      </c>
      <c r="H15" s="83">
        <f t="shared" si="1"/>
        <v>-9.6553055904351082E-3</v>
      </c>
      <c r="I15" s="83">
        <f t="shared" si="2"/>
        <v>1.9310611180848265E-2</v>
      </c>
      <c r="K15" s="97" t="s">
        <v>141</v>
      </c>
      <c r="L15" s="97" t="s">
        <v>142</v>
      </c>
      <c r="M15" s="97" t="s">
        <v>140</v>
      </c>
      <c r="O15" s="83">
        <f>(O13-O$11)/O$11*100</f>
        <v>-1.3655605626116502E-2</v>
      </c>
      <c r="P15" s="83">
        <f>(P13-P$11)/(273.15+P$11)*100</f>
        <v>-1.0006003602163572E-2</v>
      </c>
      <c r="Q15" s="83">
        <f>(Q13-Q$11)/Q$11*100</f>
        <v>-2.735978112175725E-2</v>
      </c>
      <c r="R15" s="83">
        <f>(R13-R$11)/(273.15+R$11)*100</f>
        <v>-6.3211125158114043E-3</v>
      </c>
      <c r="S15" s="83">
        <f>(S13-S$11)/(273.15+S$11)*100</f>
        <v>-5.0911312493705542E-3</v>
      </c>
      <c r="T15" s="83">
        <f t="shared" si="3"/>
        <v>-5.8582308142937502E-2</v>
      </c>
      <c r="U15" s="83">
        <f t="shared" si="3"/>
        <v>-5.5834729201560199E-2</v>
      </c>
      <c r="V15" s="83">
        <f t="shared" si="3"/>
        <v>-5.7175528873638831E-2</v>
      </c>
      <c r="W15" s="83">
        <f t="shared" si="3"/>
        <v>-9.5447169991409748E-3</v>
      </c>
      <c r="X15" s="83">
        <f t="shared" si="3"/>
        <v>-7.2727272727271169E-2</v>
      </c>
      <c r="Y15" s="83">
        <f t="shared" si="3"/>
        <v>-9.0661831368988505E-2</v>
      </c>
      <c r="Z15" s="83">
        <f t="shared" si="3"/>
        <v>-1.9542700801260731E-2</v>
      </c>
      <c r="AA15" s="83">
        <f t="shared" si="3"/>
        <v>-0.10471204188483312</v>
      </c>
      <c r="AB15" s="83">
        <f>(AB13-AB$11)/(273.15+AB$11)*100</f>
        <v>-7.6452599388396585E-3</v>
      </c>
      <c r="AC15" s="83">
        <f>(AC13-AC$11)/AC$11*100</f>
        <v>-0.11560693641618251</v>
      </c>
      <c r="AD15" s="83">
        <f>(AD13-AD$11)/(273.15+AD$11)*100</f>
        <v>-1.8122508155128607E-2</v>
      </c>
    </row>
    <row r="16" spans="1:30">
      <c r="B16" s="78" t="s">
        <v>89</v>
      </c>
      <c r="D16">
        <v>708.95</v>
      </c>
      <c r="E16">
        <v>709</v>
      </c>
      <c r="F16">
        <v>708.9</v>
      </c>
      <c r="G16" s="83">
        <f t="shared" si="0"/>
        <v>7.0526835460828713E-3</v>
      </c>
      <c r="H16" s="83">
        <f t="shared" si="1"/>
        <v>-7.052683546098908E-3</v>
      </c>
      <c r="I16" s="83">
        <f t="shared" si="2"/>
        <v>1.410536709218178E-2</v>
      </c>
      <c r="K16" s="97" t="s">
        <v>141</v>
      </c>
      <c r="L16" s="97" t="s">
        <v>142</v>
      </c>
      <c r="M16" s="97" t="s">
        <v>144</v>
      </c>
      <c r="O16" s="81">
        <f t="shared" ref="O16:AD16" si="4">O14-O15</f>
        <v>2.7311211252213599E-2</v>
      </c>
      <c r="P16" s="81">
        <f t="shared" si="4"/>
        <v>2.0012007204321454E-2</v>
      </c>
      <c r="Q16" s="81">
        <f t="shared" si="4"/>
        <v>5.47195622435145E-2</v>
      </c>
      <c r="R16" s="81">
        <f t="shared" si="4"/>
        <v>1.2642225031608436E-2</v>
      </c>
      <c r="S16" s="81">
        <f t="shared" si="4"/>
        <v>1.0182262498729533E-2</v>
      </c>
      <c r="T16" s="85">
        <f t="shared" si="4"/>
        <v>0.11716461628589166</v>
      </c>
      <c r="U16" s="85">
        <f t="shared" si="4"/>
        <v>0.1116694584031204</v>
      </c>
      <c r="V16" s="85">
        <f t="shared" si="4"/>
        <v>0.11435105774727766</v>
      </c>
      <c r="W16" s="81">
        <f t="shared" si="4"/>
        <v>1.908943399828195E-2</v>
      </c>
      <c r="X16" s="83">
        <f t="shared" si="4"/>
        <v>0.14545454545454234</v>
      </c>
      <c r="Y16" s="83">
        <f t="shared" si="4"/>
        <v>0.18132366273798989</v>
      </c>
      <c r="Z16" s="83">
        <f t="shared" si="4"/>
        <v>3.9085401602507577E-2</v>
      </c>
      <c r="AA16" s="98">
        <f t="shared" si="4"/>
        <v>0.20942408376964761</v>
      </c>
      <c r="AB16" s="83">
        <f t="shared" si="4"/>
        <v>1.5290519877670626E-2</v>
      </c>
      <c r="AC16" s="98">
        <f t="shared" si="4"/>
        <v>0.23121387283236502</v>
      </c>
      <c r="AD16" s="83">
        <f t="shared" si="4"/>
        <v>3.6245016310257214E-2</v>
      </c>
    </row>
    <row r="17" spans="2:27">
      <c r="B17" s="78" t="s">
        <v>86</v>
      </c>
      <c r="D17">
        <v>85.35</v>
      </c>
      <c r="E17">
        <v>85.4</v>
      </c>
      <c r="F17">
        <v>85.3</v>
      </c>
      <c r="G17" s="83">
        <f t="shared" si="0"/>
        <v>5.8582308142954155E-2</v>
      </c>
      <c r="H17" s="83">
        <f t="shared" si="1"/>
        <v>-5.8582308142937502E-2</v>
      </c>
      <c r="I17" s="83">
        <f t="shared" si="2"/>
        <v>0.11716461628589166</v>
      </c>
      <c r="M17" t="s">
        <v>187</v>
      </c>
      <c r="O17" s="81">
        <f>-0.8*O26</f>
        <v>-0.54736000000000007</v>
      </c>
      <c r="P17" s="81">
        <f t="shared" ref="P17:W17" si="5">-0.8*P26</f>
        <v>0.20392000000000002</v>
      </c>
      <c r="Q17" s="81">
        <f t="shared" si="5"/>
        <v>-0.21480000000000002</v>
      </c>
      <c r="R17" s="81">
        <f t="shared" si="5"/>
        <v>0.29408000000000001</v>
      </c>
      <c r="S17" s="81">
        <f t="shared" si="5"/>
        <v>0.45175999999999999</v>
      </c>
      <c r="T17" s="81">
        <f t="shared" si="5"/>
        <v>-4.9840000000000002E-2</v>
      </c>
      <c r="U17" s="81">
        <f t="shared" si="5"/>
        <v>-9.7360000000000002E-2</v>
      </c>
      <c r="V17" s="81">
        <f t="shared" si="5"/>
        <v>0.23288000000000003</v>
      </c>
      <c r="W17" s="81">
        <f t="shared" si="5"/>
        <v>0.25696000000000002</v>
      </c>
    </row>
    <row r="18" spans="2:27">
      <c r="B18" s="78" t="s">
        <v>87</v>
      </c>
      <c r="D18">
        <v>89.55</v>
      </c>
      <c r="E18">
        <v>89.6</v>
      </c>
      <c r="F18">
        <v>89.5</v>
      </c>
      <c r="G18" s="83">
        <f t="shared" si="0"/>
        <v>5.5834729201560199E-2</v>
      </c>
      <c r="H18" s="83">
        <f t="shared" si="1"/>
        <v>-5.5834729201560199E-2</v>
      </c>
      <c r="I18" s="83">
        <f t="shared" si="2"/>
        <v>0.1116694584031204</v>
      </c>
      <c r="M18" s="97" t="s">
        <v>188</v>
      </c>
      <c r="O18" s="81">
        <f>-0.8*O27</f>
        <v>0.59223999999999999</v>
      </c>
      <c r="P18" s="81">
        <f t="shared" ref="P18:W18" si="6">-0.8*P27</f>
        <v>0.14968000000000001</v>
      </c>
      <c r="Q18" s="81">
        <f t="shared" si="6"/>
        <v>-0.15928</v>
      </c>
      <c r="R18" s="81">
        <f t="shared" si="6"/>
        <v>0.19112000000000001</v>
      </c>
      <c r="S18" s="81">
        <f t="shared" si="6"/>
        <v>0.33624000000000004</v>
      </c>
      <c r="T18" s="81">
        <f t="shared" si="6"/>
        <v>-2.7360000000000002E-2</v>
      </c>
      <c r="U18" s="81">
        <f t="shared" si="6"/>
        <v>-6.6960000000000006E-2</v>
      </c>
      <c r="V18" s="81">
        <f t="shared" si="6"/>
        <v>-0.17960000000000001</v>
      </c>
      <c r="W18" s="81">
        <f t="shared" si="6"/>
        <v>0.21568000000000001</v>
      </c>
    </row>
    <row r="19" spans="2:27">
      <c r="B19" s="78" t="s">
        <v>88</v>
      </c>
      <c r="D19">
        <v>87.45</v>
      </c>
      <c r="E19">
        <v>87.5</v>
      </c>
      <c r="F19">
        <v>87.4</v>
      </c>
      <c r="G19" s="83">
        <f t="shared" si="0"/>
        <v>5.7175528873638831E-2</v>
      </c>
      <c r="H19" s="83">
        <f t="shared" si="1"/>
        <v>-5.7175528873638831E-2</v>
      </c>
      <c r="I19" s="83">
        <f t="shared" si="2"/>
        <v>0.11435105774727766</v>
      </c>
      <c r="AA19" s="76" t="s">
        <v>195</v>
      </c>
    </row>
    <row r="20" spans="2:27">
      <c r="B20" s="78" t="s">
        <v>85</v>
      </c>
      <c r="D20" s="80">
        <v>5238.5</v>
      </c>
      <c r="E20">
        <v>5239</v>
      </c>
      <c r="F20">
        <v>5238</v>
      </c>
      <c r="G20" s="83">
        <f t="shared" si="0"/>
        <v>9.5447169991409748E-3</v>
      </c>
      <c r="H20" s="83">
        <f t="shared" si="1"/>
        <v>-9.5447169991409748E-3</v>
      </c>
      <c r="I20" s="83">
        <f t="shared" si="2"/>
        <v>1.908943399828195E-2</v>
      </c>
      <c r="M20" t="s">
        <v>191</v>
      </c>
      <c r="R20" s="81">
        <f>SQRT(O16^2+P16^2+Q16^2+R16^2+S16^2+T16^2+U16^2+V16^2+W16^2)</f>
        <v>0.20986258279082537</v>
      </c>
    </row>
    <row r="21" spans="2:27">
      <c r="B21" s="78" t="s">
        <v>184</v>
      </c>
      <c r="D21">
        <v>6.875</v>
      </c>
      <c r="E21">
        <v>6.88</v>
      </c>
      <c r="F21">
        <v>6.87</v>
      </c>
      <c r="G21" s="83">
        <f t="shared" si="0"/>
        <v>7.2727272727271169E-2</v>
      </c>
      <c r="H21" s="83">
        <f t="shared" si="1"/>
        <v>-7.2727272727271169E-2</v>
      </c>
      <c r="I21" s="83">
        <f t="shared" ref="I21" si="7">G21-H21</f>
        <v>0.14545454545454234</v>
      </c>
      <c r="M21" t="s">
        <v>189</v>
      </c>
      <c r="R21" s="81">
        <f>SQRT(O17^2+P17^2+Q17^2+R17^2+S17^2+T17^2+U17^2+V17^2+W17^2)</f>
        <v>0.90006669264005112</v>
      </c>
    </row>
    <row r="22" spans="2:27">
      <c r="B22" s="78" t="s">
        <v>101</v>
      </c>
      <c r="C22" s="94">
        <v>1003007</v>
      </c>
      <c r="M22" s="97" t="s">
        <v>190</v>
      </c>
      <c r="R22" s="81">
        <f>SQRT(O18^2+P18^2+Q18^2+R18^2+S18^2+T18^2+U18^2+V18^2+W18^2)</f>
        <v>0.79505525845692016</v>
      </c>
    </row>
    <row r="23" spans="2:27">
      <c r="B23" s="78" t="s">
        <v>185</v>
      </c>
      <c r="C23" s="96">
        <v>1007422</v>
      </c>
    </row>
    <row r="24" spans="2:27">
      <c r="B24" s="78" t="s">
        <v>186</v>
      </c>
      <c r="C24" s="95">
        <v>1007423</v>
      </c>
    </row>
    <row r="25" spans="2:27">
      <c r="B25" s="78" t="s">
        <v>102</v>
      </c>
      <c r="C25" s="92">
        <v>1007430</v>
      </c>
    </row>
    <row r="26" spans="2:27">
      <c r="B26" s="79" t="s">
        <v>136</v>
      </c>
      <c r="C26" s="97">
        <v>1002999</v>
      </c>
      <c r="D26" s="82">
        <v>5.0049999999999999</v>
      </c>
      <c r="E26" s="81">
        <v>5.01</v>
      </c>
      <c r="F26" s="81">
        <v>5</v>
      </c>
      <c r="G26" s="83">
        <f>(E26-$D26)/$D26*100</f>
        <v>9.990009990009778E-2</v>
      </c>
      <c r="H26" s="83">
        <f>(F26-$D26)/$D26*100</f>
        <v>-9.990009990009778E-2</v>
      </c>
      <c r="I26" s="83">
        <f>G26-H26</f>
        <v>0.19980019980019556</v>
      </c>
      <c r="O26">
        <v>0.68420000000000003</v>
      </c>
      <c r="P26">
        <v>-0.25490000000000002</v>
      </c>
      <c r="Q26">
        <v>0.26850000000000002</v>
      </c>
      <c r="R26">
        <v>-0.36759999999999998</v>
      </c>
      <c r="S26">
        <v>-0.56469999999999998</v>
      </c>
      <c r="T26">
        <v>6.2300000000000001E-2</v>
      </c>
      <c r="U26">
        <v>0.1217</v>
      </c>
      <c r="V26">
        <v>-0.29110000000000003</v>
      </c>
      <c r="W26">
        <v>-0.32119999999999999</v>
      </c>
    </row>
    <row r="27" spans="2:27">
      <c r="B27" s="79" t="s">
        <v>137</v>
      </c>
      <c r="C27" s="93">
        <v>1003012</v>
      </c>
      <c r="G27" s="83"/>
      <c r="H27" s="83"/>
      <c r="I27" s="83"/>
      <c r="O27">
        <v>-0.74029999999999996</v>
      </c>
      <c r="P27">
        <v>-0.18709999999999999</v>
      </c>
      <c r="Q27">
        <v>0.1991</v>
      </c>
      <c r="R27">
        <v>-0.2389</v>
      </c>
      <c r="S27">
        <v>-0.42030000000000001</v>
      </c>
      <c r="T27">
        <v>3.4200000000000001E-2</v>
      </c>
      <c r="U27">
        <v>8.3699999999999997E-2</v>
      </c>
      <c r="V27">
        <v>0.22450000000000001</v>
      </c>
      <c r="W27">
        <v>-0.26960000000000001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X115"/>
  <sheetViews>
    <sheetView tabSelected="1" topLeftCell="A28" zoomScale="60" zoomScaleNormal="60" workbookViewId="0">
      <selection activeCell="A69" sqref="A69:XFD69"/>
    </sheetView>
  </sheetViews>
  <sheetFormatPr defaultColWidth="8.85546875" defaultRowHeight="15"/>
  <cols>
    <col min="1" max="1" width="60.28515625" style="1" customWidth="1"/>
    <col min="2" max="2" width="9.7109375" style="3" customWidth="1"/>
    <col min="3" max="4" width="9.7109375" style="2" customWidth="1"/>
    <col min="5" max="19" width="9.28515625" style="3" customWidth="1"/>
    <col min="20" max="20" width="8.85546875" style="2"/>
    <col min="21" max="21" width="9.28515625" style="138" customWidth="1"/>
    <col min="22" max="22" width="6.7109375" style="2" customWidth="1"/>
    <col min="23" max="23" width="43.5703125" style="2" customWidth="1"/>
    <col min="24" max="24" width="97.7109375" style="2" customWidth="1"/>
    <col min="25" max="16384" width="8.85546875" style="2"/>
  </cols>
  <sheetData>
    <row r="1" spans="1:24" s="7" customFormat="1" ht="25.15" customHeight="1">
      <c r="A1" s="15"/>
      <c r="B1" s="15"/>
      <c r="C1" s="15"/>
      <c r="D1" s="15"/>
      <c r="E1" s="15"/>
      <c r="F1" s="15"/>
      <c r="G1" s="15"/>
      <c r="H1" s="15"/>
      <c r="I1" s="15"/>
      <c r="J1" s="15"/>
      <c r="K1" s="15"/>
      <c r="L1" s="15"/>
      <c r="M1" s="15"/>
      <c r="N1" s="15"/>
      <c r="O1" s="15"/>
      <c r="P1" s="15"/>
      <c r="Q1" s="15"/>
      <c r="R1" s="15"/>
      <c r="S1" s="15"/>
      <c r="U1" s="147">
        <f>SUM(U4:U97)</f>
        <v>32</v>
      </c>
    </row>
    <row r="2" spans="1:24" s="8" customFormat="1" ht="19.899999999999999" customHeight="1" thickBot="1">
      <c r="A2" s="16" t="s">
        <v>0</v>
      </c>
      <c r="B2" s="16"/>
      <c r="C2" s="16"/>
      <c r="D2" s="16"/>
      <c r="E2" s="16"/>
      <c r="F2" s="16"/>
      <c r="G2" s="16"/>
      <c r="H2" s="16"/>
      <c r="I2" s="16"/>
      <c r="J2" s="16"/>
      <c r="K2" s="16"/>
      <c r="L2" s="16"/>
      <c r="M2" s="16"/>
      <c r="N2" s="16"/>
      <c r="O2" s="16"/>
      <c r="P2" s="16"/>
      <c r="Q2" s="16"/>
      <c r="R2" s="16"/>
      <c r="S2" s="16"/>
      <c r="U2" s="148"/>
    </row>
    <row r="3" spans="1:24" s="14" customFormat="1" ht="25.15" customHeight="1" thickBot="1">
      <c r="A3" s="24" t="s">
        <v>106</v>
      </c>
      <c r="B3" s="47" t="s">
        <v>103</v>
      </c>
      <c r="C3" s="48" t="s">
        <v>104</v>
      </c>
      <c r="D3" s="49" t="s">
        <v>105</v>
      </c>
      <c r="E3" s="46" t="s">
        <v>85</v>
      </c>
      <c r="F3" s="46" t="s">
        <v>89</v>
      </c>
      <c r="G3" s="46" t="s">
        <v>86</v>
      </c>
      <c r="H3" s="46" t="s">
        <v>87</v>
      </c>
      <c r="I3" s="46" t="s">
        <v>88</v>
      </c>
      <c r="J3" s="46" t="s">
        <v>96</v>
      </c>
      <c r="K3" s="46" t="s">
        <v>97</v>
      </c>
      <c r="L3" s="46" t="s">
        <v>94</v>
      </c>
      <c r="M3" s="46" t="s">
        <v>98</v>
      </c>
      <c r="N3" s="46" t="s">
        <v>90</v>
      </c>
      <c r="O3" s="46" t="s">
        <v>101</v>
      </c>
      <c r="P3" s="46" t="s">
        <v>99</v>
      </c>
      <c r="Q3" s="46" t="s">
        <v>100</v>
      </c>
      <c r="R3" s="50" t="s">
        <v>102</v>
      </c>
      <c r="S3" s="18"/>
      <c r="U3" s="150"/>
    </row>
    <row r="4" spans="1:24" s="14" customFormat="1" ht="12.75" customHeight="1">
      <c r="A4" s="24" t="s">
        <v>1</v>
      </c>
      <c r="B4" s="51">
        <v>1</v>
      </c>
      <c r="C4" s="44"/>
      <c r="D4" s="52"/>
      <c r="E4" s="53">
        <v>-3.5690321543568002E-5</v>
      </c>
      <c r="F4" s="53">
        <v>4.8817243617328402E-6</v>
      </c>
      <c r="G4" s="53">
        <v>5.9539821203410698E-4</v>
      </c>
      <c r="H4" s="53">
        <v>4.7447789486567404E-6</v>
      </c>
      <c r="I4" s="53">
        <v>3.23925117529299E-5</v>
      </c>
      <c r="J4" s="53">
        <v>-6.36058846983654E-5</v>
      </c>
      <c r="K4" s="53">
        <v>-3.2148835295325099E-6</v>
      </c>
      <c r="L4" s="53">
        <v>-6.2831768271147502E-6</v>
      </c>
      <c r="M4" s="53">
        <v>1.6064736120951901E-5</v>
      </c>
      <c r="N4" s="53">
        <v>2.95511616458791E-3</v>
      </c>
      <c r="O4" s="53">
        <v>2.1928572818644701E-4</v>
      </c>
      <c r="P4" s="53">
        <v>-1.08366593684931E-5</v>
      </c>
      <c r="Q4" s="53">
        <v>1.38074762726358E-4</v>
      </c>
      <c r="R4" s="56">
        <v>-8.1708937907004704E-5</v>
      </c>
      <c r="S4" s="18"/>
      <c r="T4" s="14">
        <f>100*SQRT(E4^2+F4^2+G4^2+H4^2+I4^2+J4^2+K4^2+L4^2+M4^2)</f>
        <v>6.0101750974910939E-2</v>
      </c>
      <c r="U4" s="150"/>
      <c r="V4" s="229">
        <v>1</v>
      </c>
      <c r="W4" s="131" t="s">
        <v>1</v>
      </c>
      <c r="X4" s="130" t="s">
        <v>147</v>
      </c>
    </row>
    <row r="5" spans="1:24" s="14" customFormat="1" ht="12.75" customHeight="1">
      <c r="A5" s="23" t="s">
        <v>2</v>
      </c>
      <c r="B5" s="38">
        <v>1</v>
      </c>
      <c r="C5" s="22"/>
      <c r="D5" s="34"/>
      <c r="E5" s="20">
        <v>-7.55210950877284E-4</v>
      </c>
      <c r="F5" s="20">
        <v>-1.32136074161203E-3</v>
      </c>
      <c r="G5" s="20">
        <v>1.4980987270535599E-4</v>
      </c>
      <c r="H5" s="20">
        <v>-4.8767811322283499E-4</v>
      </c>
      <c r="I5" s="20">
        <v>-6.8216292147729501E-4</v>
      </c>
      <c r="J5" s="20">
        <v>1.5049814321808699E-3</v>
      </c>
      <c r="K5" s="20">
        <v>-6.7631623880535802E-4</v>
      </c>
      <c r="L5" s="20">
        <v>6.2385332022905102E-4</v>
      </c>
      <c r="M5" s="20">
        <v>-9.0831094134588E-4</v>
      </c>
      <c r="N5" s="20">
        <v>9.7125454135720595E-5</v>
      </c>
      <c r="O5" s="20">
        <v>3.0104066209205201E-4</v>
      </c>
      <c r="P5" s="20">
        <v>6.3310668702320095E-4</v>
      </c>
      <c r="Q5" s="20">
        <v>7.9682213095429405E-4</v>
      </c>
      <c r="R5" s="57">
        <v>-1.6888929471598601E-3</v>
      </c>
      <c r="S5" s="18"/>
      <c r="T5" s="14">
        <f t="shared" ref="T5:T68" si="0">100*SQRT(E5^2+F5^2+G5^2+H5^2+I5^2+J5^2+K5^2+L5^2+M5^2)</f>
        <v>0.26416948118062278</v>
      </c>
      <c r="U5" s="150"/>
      <c r="V5" s="229">
        <f>V4+1</f>
        <v>2</v>
      </c>
      <c r="W5" s="131" t="s">
        <v>2</v>
      </c>
      <c r="X5" s="130" t="s">
        <v>149</v>
      </c>
    </row>
    <row r="6" spans="1:24" s="14" customFormat="1" ht="12.75" customHeight="1">
      <c r="A6" s="222" t="s">
        <v>3</v>
      </c>
      <c r="B6" s="38">
        <v>1</v>
      </c>
      <c r="C6" s="22"/>
      <c r="D6" s="34"/>
      <c r="E6" s="20">
        <v>-3.2115668866133399E-3</v>
      </c>
      <c r="F6" s="20">
        <v>-5.6469956769889902E-3</v>
      </c>
      <c r="G6" s="20">
        <v>6.2292737667654402E-4</v>
      </c>
      <c r="H6" s="20">
        <v>1.2173399528271601E-3</v>
      </c>
      <c r="I6" s="20">
        <v>-2.9107343357368601E-3</v>
      </c>
      <c r="J6" s="20">
        <v>6.84197140311629E-3</v>
      </c>
      <c r="K6" s="20">
        <v>-2.5485691505968099E-3</v>
      </c>
      <c r="L6" s="20">
        <v>2.6847353195226902E-3</v>
      </c>
      <c r="M6" s="20">
        <v>-3.67551938675444E-3</v>
      </c>
      <c r="N6" s="20">
        <v>4.0483076843906201E-4</v>
      </c>
      <c r="O6" s="20">
        <v>1.25640014030562E-3</v>
      </c>
      <c r="P6" s="20">
        <v>2.8599843281796201E-3</v>
      </c>
      <c r="Q6" s="20">
        <v>3.3413818757740601E-3</v>
      </c>
      <c r="R6" s="57">
        <v>-7.1954593745334802E-3</v>
      </c>
      <c r="S6" s="18"/>
      <c r="T6" s="14">
        <f t="shared" si="0"/>
        <v>1.12503366788936</v>
      </c>
      <c r="U6" s="150">
        <v>1</v>
      </c>
      <c r="V6" s="129">
        <f t="shared" ref="V6:V69" si="1">V5+1</f>
        <v>3</v>
      </c>
      <c r="W6" s="128" t="s">
        <v>3</v>
      </c>
      <c r="X6" s="229"/>
    </row>
    <row r="7" spans="1:24" s="14" customFormat="1" ht="12.75" customHeight="1">
      <c r="A7" s="222" t="s">
        <v>4</v>
      </c>
      <c r="B7" s="38">
        <v>1</v>
      </c>
      <c r="C7" s="22"/>
      <c r="D7" s="34"/>
      <c r="E7" s="20">
        <v>-2.6963522711550099E-3</v>
      </c>
      <c r="F7" s="20">
        <v>-4.2032256970064999E-3</v>
      </c>
      <c r="G7" s="20">
        <v>3.4176710988265997E-4</v>
      </c>
      <c r="H7" s="20">
        <v>8.3666268794647296E-4</v>
      </c>
      <c r="I7" s="20">
        <v>2.24518509941119E-3</v>
      </c>
      <c r="J7" s="20">
        <v>-7.4033313559745796E-3</v>
      </c>
      <c r="K7" s="20">
        <v>-1.87147895834915E-3</v>
      </c>
      <c r="L7" s="20">
        <v>1.9914363606781502E-3</v>
      </c>
      <c r="M7" s="20">
        <v>-2.38934125511861E-3</v>
      </c>
      <c r="N7" s="20">
        <v>1.85273519133714E-4</v>
      </c>
      <c r="O7" s="20">
        <v>7.3495637052043697E-4</v>
      </c>
      <c r="P7" s="20">
        <v>1.8163134846696999E-3</v>
      </c>
      <c r="Q7" s="20">
        <v>2.1426574483564701E-3</v>
      </c>
      <c r="R7" s="57">
        <v>-5.30048235449286E-3</v>
      </c>
      <c r="S7" s="18"/>
      <c r="T7" s="14">
        <f t="shared" si="0"/>
        <v>0.99388936125455518</v>
      </c>
      <c r="U7" s="150">
        <v>1</v>
      </c>
      <c r="V7" s="129">
        <f t="shared" si="1"/>
        <v>4</v>
      </c>
      <c r="W7" s="128" t="s">
        <v>4</v>
      </c>
      <c r="X7" s="229"/>
    </row>
    <row r="8" spans="1:24" s="14" customFormat="1" ht="12.75" customHeight="1">
      <c r="A8" s="23" t="s">
        <v>5</v>
      </c>
      <c r="B8" s="38">
        <v>1</v>
      </c>
      <c r="C8" s="22"/>
      <c r="D8" s="34"/>
      <c r="E8" s="20">
        <v>-9.9072960291098095E-3</v>
      </c>
      <c r="F8" s="20">
        <v>-6.3462416702526997E-6</v>
      </c>
      <c r="G8" s="20">
        <v>-4.3747897299997101E-6</v>
      </c>
      <c r="H8" s="20">
        <v>3.0415249670876502E-7</v>
      </c>
      <c r="I8" s="20">
        <v>-5.8440098523327197E-7</v>
      </c>
      <c r="J8" s="20">
        <v>8.0513778099196694E-6</v>
      </c>
      <c r="K8" s="20">
        <v>2.14325568635501E-6</v>
      </c>
      <c r="L8" s="20">
        <v>-1.6534675860828199E-7</v>
      </c>
      <c r="M8" s="20">
        <v>-3.0745906451582599E-7</v>
      </c>
      <c r="N8" s="20">
        <v>-3.7464694826733502E-6</v>
      </c>
      <c r="O8" s="20">
        <v>2.85862923792948E-5</v>
      </c>
      <c r="P8" s="20">
        <v>-1.4523357916537099E-6</v>
      </c>
      <c r="Q8" s="20">
        <v>-2.32748732409329E-6</v>
      </c>
      <c r="R8" s="57">
        <v>7.2469124529494198E-7</v>
      </c>
      <c r="S8" s="18"/>
      <c r="T8" s="14">
        <f t="shared" si="0"/>
        <v>0.99073025590277075</v>
      </c>
      <c r="U8" s="150"/>
      <c r="V8" s="229">
        <f t="shared" si="1"/>
        <v>5</v>
      </c>
      <c r="W8" s="131" t="s">
        <v>5</v>
      </c>
      <c r="X8" s="130" t="s">
        <v>154</v>
      </c>
    </row>
    <row r="9" spans="1:24" s="14" customFormat="1" ht="12.75" customHeight="1">
      <c r="A9" s="222" t="s">
        <v>6</v>
      </c>
      <c r="B9" s="38">
        <v>1</v>
      </c>
      <c r="C9" s="22"/>
      <c r="D9" s="34"/>
      <c r="E9" s="20">
        <v>-4.7186164745212696E-3</v>
      </c>
      <c r="F9" s="20">
        <v>-5.7671471178421399E-3</v>
      </c>
      <c r="G9" s="20">
        <v>4.4174706054143402E-5</v>
      </c>
      <c r="H9" s="20">
        <v>8.8842944288630504E-4</v>
      </c>
      <c r="I9" s="20">
        <v>5.8130366001153599E-3</v>
      </c>
      <c r="J9" s="20">
        <v>-1.0159944198584099E-2</v>
      </c>
      <c r="K9" s="20">
        <v>-2.64317007519731E-3</v>
      </c>
      <c r="L9" s="20">
        <v>2.7411185642081102E-3</v>
      </c>
      <c r="M9" s="20">
        <v>1.8267680318207801E-3</v>
      </c>
      <c r="N9" s="20">
        <v>-1.4738469568629999E-4</v>
      </c>
      <c r="O9" s="20">
        <v>2.5532121727695899E-4</v>
      </c>
      <c r="P9" s="20">
        <v>1.33056302143044E-3</v>
      </c>
      <c r="Q9" s="20">
        <v>1.7392491306834801E-3</v>
      </c>
      <c r="R9" s="57">
        <v>-7.0759759054654699E-3</v>
      </c>
      <c r="S9" s="18"/>
      <c r="T9" s="14">
        <f t="shared" si="0"/>
        <v>1.4531675976853853</v>
      </c>
      <c r="U9" s="150">
        <v>1</v>
      </c>
      <c r="V9" s="129">
        <f t="shared" si="1"/>
        <v>6</v>
      </c>
      <c r="W9" s="128" t="s">
        <v>6</v>
      </c>
      <c r="X9" s="229"/>
    </row>
    <row r="10" spans="1:24" s="14" customFormat="1" ht="12.75" customHeight="1">
      <c r="A10" s="222" t="s">
        <v>7</v>
      </c>
      <c r="B10" s="38">
        <v>1</v>
      </c>
      <c r="C10" s="22"/>
      <c r="D10" s="34"/>
      <c r="E10" s="20">
        <v>-4.3017610129231698E-3</v>
      </c>
      <c r="F10" s="20">
        <v>-6.1868533698421196E-3</v>
      </c>
      <c r="G10" s="20">
        <v>2.9311091190998E-4</v>
      </c>
      <c r="H10" s="20">
        <v>1.24221962705794E-3</v>
      </c>
      <c r="I10" s="20">
        <v>-1.5692836170613999E-3</v>
      </c>
      <c r="J10" s="20">
        <v>1.14427076032112E-2</v>
      </c>
      <c r="K10" s="20">
        <v>3.55542304414225E-3</v>
      </c>
      <c r="L10" s="20">
        <v>2.9416015090206501E-3</v>
      </c>
      <c r="M10" s="20">
        <v>7.2675636374928498E-4</v>
      </c>
      <c r="N10" s="20">
        <v>7.7403473274100402E-5</v>
      </c>
      <c r="O10" s="20">
        <v>7.4249868219054404E-4</v>
      </c>
      <c r="P10" s="20">
        <v>3.0582840228092602E-3</v>
      </c>
      <c r="Q10" s="20">
        <v>2.538672571E-3</v>
      </c>
      <c r="R10" s="57">
        <v>-7.5636025271433099E-3</v>
      </c>
      <c r="S10" s="18"/>
      <c r="T10" s="14">
        <f t="shared" si="0"/>
        <v>1.4616147292534596</v>
      </c>
      <c r="U10" s="150">
        <v>1</v>
      </c>
      <c r="V10" s="129">
        <f t="shared" si="1"/>
        <v>7</v>
      </c>
      <c r="W10" s="128" t="s">
        <v>7</v>
      </c>
      <c r="X10" s="229"/>
    </row>
    <row r="11" spans="1:24" s="14" customFormat="1" ht="12.75" customHeight="1">
      <c r="A11" s="222" t="s">
        <v>8</v>
      </c>
      <c r="B11" s="38">
        <v>1</v>
      </c>
      <c r="C11" s="22"/>
      <c r="D11" s="34"/>
      <c r="E11" s="20">
        <v>-3.5877672312825502E-4</v>
      </c>
      <c r="F11" s="20">
        <v>-2.1430769948007101E-4</v>
      </c>
      <c r="G11" s="20">
        <v>3.59629056243683E-3</v>
      </c>
      <c r="H11" s="20">
        <v>8.88733595383013E-5</v>
      </c>
      <c r="I11" s="20">
        <v>-7.8643675441391795E-5</v>
      </c>
      <c r="J11" s="20">
        <v>6.6361245104426796E-4</v>
      </c>
      <c r="K11" s="20">
        <v>2.8838695957510098E-4</v>
      </c>
      <c r="L11" s="20">
        <v>9.7719934337495195E-5</v>
      </c>
      <c r="M11" s="20">
        <v>9.7233929153130096E-5</v>
      </c>
      <c r="N11" s="20">
        <v>3.87582871198075E-3</v>
      </c>
      <c r="O11" s="20">
        <v>-2.0189185386575502E-3</v>
      </c>
      <c r="P11" s="20">
        <v>1.1071267457914099E-4</v>
      </c>
      <c r="Q11" s="20">
        <v>8.7280774653498701E-5</v>
      </c>
      <c r="R11" s="57">
        <v>-6.8549450756505096E-3</v>
      </c>
      <c r="S11" s="18"/>
      <c r="T11" s="14">
        <f t="shared" si="0"/>
        <v>0.36965645922246898</v>
      </c>
      <c r="U11" s="150">
        <v>1</v>
      </c>
      <c r="V11" s="129">
        <f t="shared" si="1"/>
        <v>8</v>
      </c>
      <c r="W11" s="128" t="s">
        <v>8</v>
      </c>
      <c r="X11" s="229"/>
    </row>
    <row r="12" spans="1:24" s="14" customFormat="1" ht="12.75" customHeight="1">
      <c r="A12" s="23" t="s">
        <v>9</v>
      </c>
      <c r="B12" s="38">
        <v>1</v>
      </c>
      <c r="C12" s="22"/>
      <c r="D12" s="34"/>
      <c r="E12" s="20">
        <v>6.3699261547575401E-6</v>
      </c>
      <c r="F12" s="20">
        <v>-4.2721190320614501E-4</v>
      </c>
      <c r="G12" s="20">
        <v>-5.2941357864308702E-3</v>
      </c>
      <c r="H12" s="20">
        <v>1.5998421326880999E-5</v>
      </c>
      <c r="I12" s="20">
        <v>-6.4868509360893202E-5</v>
      </c>
      <c r="J12" s="20">
        <v>3.5989658810340897E-4</v>
      </c>
      <c r="K12" s="20">
        <v>-1.05972086714219E-5</v>
      </c>
      <c r="L12" s="20">
        <v>1.9783739667480999E-4</v>
      </c>
      <c r="M12" s="20">
        <v>-5.9800788048328202E-5</v>
      </c>
      <c r="N12" s="20">
        <v>-5.0329929654026903E-4</v>
      </c>
      <c r="O12" s="20">
        <v>4.66505944039958E-4</v>
      </c>
      <c r="P12" s="20">
        <v>1.8902708919062199E-4</v>
      </c>
      <c r="Q12" s="20">
        <v>-1.13067965094261E-3</v>
      </c>
      <c r="R12" s="57">
        <v>8.0413552306039999E-4</v>
      </c>
      <c r="S12" s="18"/>
      <c r="T12" s="14">
        <f t="shared" si="0"/>
        <v>0.53279678873933045</v>
      </c>
      <c r="U12" s="150"/>
      <c r="V12" s="229">
        <f t="shared" si="1"/>
        <v>9</v>
      </c>
      <c r="W12" s="131" t="s">
        <v>9</v>
      </c>
      <c r="X12" s="130" t="s">
        <v>148</v>
      </c>
    </row>
    <row r="13" spans="1:24" s="14" customFormat="1" ht="12.75" customHeight="1">
      <c r="A13" s="23" t="s">
        <v>10</v>
      </c>
      <c r="B13" s="38">
        <v>1</v>
      </c>
      <c r="C13" s="22"/>
      <c r="D13" s="34"/>
      <c r="E13" s="20">
        <v>9.9951635398916105E-5</v>
      </c>
      <c r="F13" s="20">
        <v>1.30586126676353E-4</v>
      </c>
      <c r="G13" s="20">
        <v>2.5608525248778798E-6</v>
      </c>
      <c r="H13" s="20">
        <v>4.9455195964845303E-5</v>
      </c>
      <c r="I13" s="20">
        <v>6.5619882056193097E-5</v>
      </c>
      <c r="J13" s="20">
        <v>-1.9394874546562E-4</v>
      </c>
      <c r="K13" s="20">
        <v>2.6790696079437599E-5</v>
      </c>
      <c r="L13" s="20">
        <v>-6.1922361098801896E-5</v>
      </c>
      <c r="M13" s="20">
        <v>6.6026834104773702E-5</v>
      </c>
      <c r="N13" s="20">
        <v>8.9773891377267201E-6</v>
      </c>
      <c r="O13" s="20">
        <v>-3.0262361639318598E-5</v>
      </c>
      <c r="P13" s="20">
        <v>-6.3791056694944E-5</v>
      </c>
      <c r="Q13" s="20">
        <v>-7.85184694333828E-5</v>
      </c>
      <c r="R13" s="57">
        <v>1.63689635030995E-4</v>
      </c>
      <c r="S13" s="18"/>
      <c r="T13" s="14">
        <f t="shared" si="0"/>
        <v>2.8342404288266173E-2</v>
      </c>
      <c r="U13" s="150"/>
      <c r="V13" s="229">
        <f t="shared" si="1"/>
        <v>10</v>
      </c>
      <c r="W13" s="131" t="s">
        <v>10</v>
      </c>
      <c r="X13" s="130" t="s">
        <v>147</v>
      </c>
    </row>
    <row r="14" spans="1:24" s="14" customFormat="1" ht="12.75" customHeight="1">
      <c r="A14" s="23" t="s">
        <v>11</v>
      </c>
      <c r="B14" s="38">
        <v>1</v>
      </c>
      <c r="C14" s="22"/>
      <c r="D14" s="34"/>
      <c r="E14" s="20">
        <v>-7.7937920011151093E-5</v>
      </c>
      <c r="F14" s="20">
        <v>-1.3583398036521601E-4</v>
      </c>
      <c r="G14" s="20">
        <v>3.2330763126583203E-5</v>
      </c>
      <c r="H14" s="20">
        <v>-2.37701259227834E-3</v>
      </c>
      <c r="I14" s="20">
        <v>-8.2317053062858E-5</v>
      </c>
      <c r="J14" s="20">
        <v>-7.0315366206631798E-5</v>
      </c>
      <c r="K14" s="20">
        <v>-2.9374509879098899E-4</v>
      </c>
      <c r="L14" s="20">
        <v>5.4812450478645797E-5</v>
      </c>
      <c r="M14" s="20">
        <v>-2.3620542631428299E-4</v>
      </c>
      <c r="N14" s="20">
        <v>2.4387395689100099E-5</v>
      </c>
      <c r="O14" s="20">
        <v>2.02059460791758E-5</v>
      </c>
      <c r="P14" s="20">
        <v>-1.5975693708190801E-5</v>
      </c>
      <c r="Q14" s="20">
        <v>1.11034836461156E-4</v>
      </c>
      <c r="R14" s="57">
        <v>-1.8959734705028899E-4</v>
      </c>
      <c r="S14" s="18"/>
      <c r="T14" s="14">
        <f t="shared" si="0"/>
        <v>0.24150700343577833</v>
      </c>
      <c r="U14" s="150"/>
      <c r="V14" s="229">
        <f t="shared" si="1"/>
        <v>11</v>
      </c>
      <c r="W14" s="131" t="s">
        <v>11</v>
      </c>
      <c r="X14" s="130" t="s">
        <v>151</v>
      </c>
    </row>
    <row r="15" spans="1:24" s="14" customFormat="1" ht="12.75" customHeight="1">
      <c r="A15" s="23" t="s">
        <v>12</v>
      </c>
      <c r="B15" s="38">
        <v>1</v>
      </c>
      <c r="C15" s="22"/>
      <c r="D15" s="34"/>
      <c r="E15" s="20">
        <v>-1.69833472331991E-4</v>
      </c>
      <c r="F15" s="20">
        <v>-3.5233845580806799E-4</v>
      </c>
      <c r="G15" s="20">
        <v>6.2847589048044598E-5</v>
      </c>
      <c r="H15" s="20">
        <v>8.8934190037643105E-5</v>
      </c>
      <c r="I15" s="20">
        <v>-3.1926660681843998E-3</v>
      </c>
      <c r="J15" s="20">
        <v>-6.3793750180596797E-4</v>
      </c>
      <c r="K15" s="20">
        <v>-1.5598138606250301E-4</v>
      </c>
      <c r="L15" s="20">
        <v>1.6104774288446699E-4</v>
      </c>
      <c r="M15" s="20">
        <v>-3.5849726922545301E-4</v>
      </c>
      <c r="N15" s="20">
        <v>4.4462817067953601E-5</v>
      </c>
      <c r="O15" s="20">
        <v>1.1201729554492401E-4</v>
      </c>
      <c r="P15" s="20">
        <v>2.3103310901076001E-4</v>
      </c>
      <c r="Q15" s="20">
        <v>2.7231601691891602E-4</v>
      </c>
      <c r="R15" s="57">
        <v>-4.6235301449817299E-4</v>
      </c>
      <c r="S15" s="18"/>
      <c r="T15" s="14">
        <f t="shared" si="0"/>
        <v>0.33081282691043135</v>
      </c>
      <c r="U15" s="150"/>
      <c r="V15" s="229">
        <f t="shared" si="1"/>
        <v>12</v>
      </c>
      <c r="W15" s="131" t="s">
        <v>12</v>
      </c>
      <c r="X15" s="130" t="s">
        <v>152</v>
      </c>
    </row>
    <row r="16" spans="1:24" s="14" customFormat="1" ht="12.75" customHeight="1">
      <c r="A16" s="222" t="s">
        <v>13</v>
      </c>
      <c r="B16" s="38">
        <v>1</v>
      </c>
      <c r="C16" s="22"/>
      <c r="D16" s="34"/>
      <c r="E16" s="20">
        <v>1.3533938545013301E-2</v>
      </c>
      <c r="F16" s="20">
        <v>5.3592790474193599E-3</v>
      </c>
      <c r="G16" s="20">
        <v>3.4419991978129399E-3</v>
      </c>
      <c r="H16" s="20">
        <v>1.3354727825488401E-3</v>
      </c>
      <c r="I16" s="20">
        <v>-1.4418007164255101E-3</v>
      </c>
      <c r="J16" s="20">
        <v>8.8535634190479995E-3</v>
      </c>
      <c r="K16" s="20">
        <v>2.89553843226561E-3</v>
      </c>
      <c r="L16" s="20">
        <v>-2.5360059101545399E-3</v>
      </c>
      <c r="M16" s="20">
        <v>-5.4773832343494395E-4</v>
      </c>
      <c r="N16" s="20">
        <v>3.49383020095496E-3</v>
      </c>
      <c r="O16" s="20">
        <v>6.3350762280955202E-3</v>
      </c>
      <c r="P16" s="20">
        <v>8.3021099757817404E-3</v>
      </c>
      <c r="Q16" s="20">
        <v>8.4392636706337003E-3</v>
      </c>
      <c r="R16" s="57">
        <v>5.1062651007538198E-3</v>
      </c>
      <c r="S16" s="18"/>
      <c r="T16" s="14">
        <f t="shared" si="0"/>
        <v>1.7919265360499401</v>
      </c>
      <c r="U16" s="150">
        <v>1</v>
      </c>
      <c r="V16" s="129">
        <f t="shared" si="1"/>
        <v>13</v>
      </c>
      <c r="W16" s="128" t="s">
        <v>13</v>
      </c>
      <c r="X16" s="229"/>
    </row>
    <row r="17" spans="1:24" s="14" customFormat="1" ht="12.75" customHeight="1">
      <c r="A17" s="222" t="s">
        <v>14</v>
      </c>
      <c r="B17" s="38">
        <v>1</v>
      </c>
      <c r="C17" s="22"/>
      <c r="D17" s="34"/>
      <c r="E17" s="20">
        <v>4.3568421390849003E-4</v>
      </c>
      <c r="F17" s="20">
        <v>1.1802789075579499E-3</v>
      </c>
      <c r="G17" s="20">
        <v>-1.7424467388023199E-4</v>
      </c>
      <c r="H17" s="20">
        <v>-4.0111631265951999E-4</v>
      </c>
      <c r="I17" s="20">
        <v>5.7909128485315198E-3</v>
      </c>
      <c r="J17" s="20">
        <v>-1.8217494731491399E-2</v>
      </c>
      <c r="K17" s="20">
        <v>-5.2881261967999199E-3</v>
      </c>
      <c r="L17" s="20">
        <v>-5.5663986285478398E-4</v>
      </c>
      <c r="M17" s="20">
        <v>8.3751849174111103E-4</v>
      </c>
      <c r="N17" s="20">
        <v>-1.3056092706599401E-4</v>
      </c>
      <c r="O17" s="20">
        <v>-3.3204794340249298E-4</v>
      </c>
      <c r="P17" s="20">
        <v>-1.14682020015868E-2</v>
      </c>
      <c r="Q17" s="20">
        <v>-7.97575141559148E-4</v>
      </c>
      <c r="R17" s="57">
        <v>1.41169854583454E-3</v>
      </c>
      <c r="S17" s="18"/>
      <c r="T17" s="14">
        <f t="shared" si="0"/>
        <v>1.9903805773819883</v>
      </c>
      <c r="U17" s="150">
        <v>1</v>
      </c>
      <c r="V17" s="129">
        <f t="shared" si="1"/>
        <v>14</v>
      </c>
      <c r="W17" s="128" t="s">
        <v>14</v>
      </c>
      <c r="X17" s="229"/>
    </row>
    <row r="18" spans="1:24" s="14" customFormat="1" ht="12.75" customHeight="1">
      <c r="A18" s="23" t="s">
        <v>15</v>
      </c>
      <c r="B18" s="38">
        <v>1</v>
      </c>
      <c r="C18" s="22"/>
      <c r="D18" s="34"/>
      <c r="E18" s="20">
        <v>-3.73165262207237E-3</v>
      </c>
      <c r="F18" s="20">
        <v>-5.5016423341183902E-3</v>
      </c>
      <c r="G18" s="20">
        <v>-1.2300628294496701E-3</v>
      </c>
      <c r="H18" s="20">
        <v>1.08326953227794E-3</v>
      </c>
      <c r="I18" s="20">
        <v>-1.4016440201544799E-3</v>
      </c>
      <c r="J18" s="20">
        <v>1.00974118309271E-2</v>
      </c>
      <c r="K18" s="20">
        <v>3.0875979557150901E-3</v>
      </c>
      <c r="L18" s="20">
        <v>2.6195886966310202E-3</v>
      </c>
      <c r="M18" s="20">
        <v>6.1176667362036502E-4</v>
      </c>
      <c r="N18" s="20">
        <v>-1.5293371180686399E-3</v>
      </c>
      <c r="O18" s="20">
        <v>1.49645050432458E-3</v>
      </c>
      <c r="P18" s="20">
        <v>2.7195546289404899E-3</v>
      </c>
      <c r="Q18" s="20">
        <v>-7.6296403593969003E-3</v>
      </c>
      <c r="R18" s="57">
        <v>-4.0214928929529501E-3</v>
      </c>
      <c r="S18" s="18"/>
      <c r="T18" s="14">
        <f t="shared" si="0"/>
        <v>1.2944957446416172</v>
      </c>
      <c r="U18" s="150"/>
      <c r="V18" s="229">
        <f t="shared" si="1"/>
        <v>15</v>
      </c>
      <c r="W18" s="131" t="s">
        <v>15</v>
      </c>
      <c r="X18" s="130" t="s">
        <v>155</v>
      </c>
    </row>
    <row r="19" spans="1:24" s="14" customFormat="1" ht="12.75" customHeight="1">
      <c r="A19" s="23" t="s">
        <v>16</v>
      </c>
      <c r="B19" s="38">
        <v>1</v>
      </c>
      <c r="C19" s="22"/>
      <c r="D19" s="34"/>
      <c r="E19" s="20">
        <v>7.4050391549056399E-4</v>
      </c>
      <c r="F19" s="20">
        <v>1.29445023606798E-3</v>
      </c>
      <c r="G19" s="20">
        <v>-1.47569126746087E-4</v>
      </c>
      <c r="H19" s="20">
        <v>4.8050011430050799E-4</v>
      </c>
      <c r="I19" s="20">
        <v>6.7172718959812995E-4</v>
      </c>
      <c r="J19" s="20">
        <v>-1.4737599782290701E-3</v>
      </c>
      <c r="K19" s="20">
        <v>6.6714786725817303E-4</v>
      </c>
      <c r="L19" s="20">
        <v>-6.1376716795394598E-4</v>
      </c>
      <c r="M19" s="20">
        <v>8.9432155391040995E-4</v>
      </c>
      <c r="N19" s="20">
        <v>-9.7903023273633903E-5</v>
      </c>
      <c r="O19" s="20">
        <v>-2.91915396120812E-4</v>
      </c>
      <c r="P19" s="20">
        <v>-6.2372236344636095E-4</v>
      </c>
      <c r="Q19" s="20">
        <v>-7.8730681512932405E-4</v>
      </c>
      <c r="R19" s="57">
        <v>1.6608111614046801E-3</v>
      </c>
      <c r="S19" s="18"/>
      <c r="T19" s="14">
        <f t="shared" si="0"/>
        <v>0.25925658748108843</v>
      </c>
      <c r="U19" s="150"/>
      <c r="V19" s="229">
        <f t="shared" si="1"/>
        <v>16</v>
      </c>
      <c r="W19" s="131" t="s">
        <v>16</v>
      </c>
      <c r="X19" s="127" t="s">
        <v>150</v>
      </c>
    </row>
    <row r="20" spans="1:24" s="14" customFormat="1" ht="12.75" customHeight="1">
      <c r="A20" s="23" t="s">
        <v>17</v>
      </c>
      <c r="B20" s="38">
        <v>1</v>
      </c>
      <c r="C20" s="22"/>
      <c r="D20" s="34"/>
      <c r="E20" s="20">
        <v>2.45991560035195E-3</v>
      </c>
      <c r="F20" s="20">
        <v>4.31098976229175E-3</v>
      </c>
      <c r="G20" s="20">
        <v>-4.9008315194850401E-4</v>
      </c>
      <c r="H20" s="20">
        <v>1.59412406574998E-3</v>
      </c>
      <c r="I20" s="20">
        <v>2.2349163392421001E-3</v>
      </c>
      <c r="J20" s="20">
        <v>-4.8887071464297797E-3</v>
      </c>
      <c r="K20" s="20">
        <v>2.2230324257915498E-3</v>
      </c>
      <c r="L20" s="20">
        <v>-2.0413710817778598E-3</v>
      </c>
      <c r="M20" s="20">
        <v>2.9778179046019001E-3</v>
      </c>
      <c r="N20" s="20">
        <v>-3.2558940447534801E-4</v>
      </c>
      <c r="O20" s="20">
        <v>-9.6364670955479596E-4</v>
      </c>
      <c r="P20" s="20">
        <v>-2.0715894295872902E-3</v>
      </c>
      <c r="Q20" s="20">
        <v>-2.6078126356274701E-3</v>
      </c>
      <c r="R20" s="57">
        <v>5.5312965161192999E-3</v>
      </c>
      <c r="S20" s="18"/>
      <c r="T20" s="14">
        <f t="shared" si="0"/>
        <v>0.86190491159894389</v>
      </c>
      <c r="U20" s="150"/>
      <c r="V20" s="229">
        <f t="shared" si="1"/>
        <v>17</v>
      </c>
      <c r="W20" s="131" t="s">
        <v>17</v>
      </c>
      <c r="X20" s="130" t="s">
        <v>197</v>
      </c>
    </row>
    <row r="21" spans="1:24" s="14" customFormat="1" ht="12.75" customHeight="1">
      <c r="A21" s="23" t="s">
        <v>18</v>
      </c>
      <c r="B21" s="38">
        <v>1</v>
      </c>
      <c r="C21" s="22"/>
      <c r="D21" s="34"/>
      <c r="E21" s="20">
        <v>1.5456438463749899E-5</v>
      </c>
      <c r="F21" s="20">
        <v>-1.6536841275370001E-5</v>
      </c>
      <c r="G21" s="20">
        <v>-4.2595513663802099E-4</v>
      </c>
      <c r="H21" s="20">
        <v>-1.6424234822273301E-6</v>
      </c>
      <c r="I21" s="20">
        <v>-1.9702661787864599E-5</v>
      </c>
      <c r="J21" s="20">
        <v>4.9202864393953497E-5</v>
      </c>
      <c r="K21" s="20">
        <v>4.1674416123569599E-6</v>
      </c>
      <c r="L21" s="20">
        <v>7.1099106201561601E-6</v>
      </c>
      <c r="M21" s="20">
        <v>-9.6849605322485296E-6</v>
      </c>
      <c r="N21" s="20">
        <v>-1.6633617622035201E-3</v>
      </c>
      <c r="O21" s="20">
        <v>-9.7863821793611996E-5</v>
      </c>
      <c r="P21" s="20">
        <v>8.3788603364637493E-6</v>
      </c>
      <c r="Q21" s="20">
        <v>-1.05216118150923E-4</v>
      </c>
      <c r="R21" s="57">
        <v>5.8247058840580899E-5</v>
      </c>
      <c r="S21" s="18"/>
      <c r="T21" s="14">
        <f t="shared" si="0"/>
        <v>4.3002753190672288E-2</v>
      </c>
      <c r="U21" s="150"/>
      <c r="V21" s="229">
        <f t="shared" si="1"/>
        <v>18</v>
      </c>
      <c r="W21" s="131" t="s">
        <v>18</v>
      </c>
      <c r="X21" s="130" t="s">
        <v>147</v>
      </c>
    </row>
    <row r="22" spans="1:24" s="14" customFormat="1" ht="12.75" customHeight="1">
      <c r="A22" s="23" t="s">
        <v>19</v>
      </c>
      <c r="B22" s="38">
        <v>1</v>
      </c>
      <c r="C22" s="22"/>
      <c r="D22" s="34"/>
      <c r="E22" s="20">
        <v>7.6345438472461696E-5</v>
      </c>
      <c r="F22" s="20">
        <v>-5.8885800113402402E-5</v>
      </c>
      <c r="G22" s="20">
        <v>-1.8971649121803599E-3</v>
      </c>
      <c r="H22" s="20">
        <v>-1.1253642378224301E-5</v>
      </c>
      <c r="I22" s="20">
        <v>-8.3068425758158003E-5</v>
      </c>
      <c r="J22" s="20">
        <v>1.89386298039999E-4</v>
      </c>
      <c r="K22" s="20">
        <v>8.9302320264792093E-6</v>
      </c>
      <c r="L22" s="20">
        <v>2.3396566343071999E-5</v>
      </c>
      <c r="M22" s="20">
        <v>-4.5580806314471199E-5</v>
      </c>
      <c r="N22" s="20">
        <v>-7.2228397220769902E-3</v>
      </c>
      <c r="O22" s="20">
        <v>-4.2525601725159397E-4</v>
      </c>
      <c r="P22" s="20">
        <v>3.0945924176006098E-5</v>
      </c>
      <c r="Q22" s="20">
        <v>-4.4010047078223E-4</v>
      </c>
      <c r="R22" s="57">
        <v>2.7230273541957402E-4</v>
      </c>
      <c r="S22" s="18"/>
      <c r="T22" s="14">
        <f t="shared" si="0"/>
        <v>0.19115778308543552</v>
      </c>
      <c r="U22" s="150"/>
      <c r="V22" s="229">
        <f t="shared" si="1"/>
        <v>19</v>
      </c>
      <c r="W22" s="131" t="s">
        <v>19</v>
      </c>
      <c r="X22" s="130" t="s">
        <v>148</v>
      </c>
    </row>
    <row r="23" spans="1:24" s="14" customFormat="1" ht="12.75" customHeight="1">
      <c r="A23" s="23" t="s">
        <v>20</v>
      </c>
      <c r="B23" s="38">
        <v>1</v>
      </c>
      <c r="C23" s="22"/>
      <c r="D23" s="34"/>
      <c r="E23" s="20">
        <v>1.0304292309166599E-5</v>
      </c>
      <c r="F23" s="20">
        <v>-8.8481254056407793E-6</v>
      </c>
      <c r="G23" s="20">
        <v>-2.6013993565217802E-4</v>
      </c>
      <c r="H23" s="20">
        <v>-1.4599319842020701E-6</v>
      </c>
      <c r="I23" s="20">
        <v>-1.16880197046654E-5</v>
      </c>
      <c r="J23" s="20">
        <v>2.8179822334718799E-5</v>
      </c>
      <c r="K23" s="20">
        <v>1.90511616564889E-6</v>
      </c>
      <c r="L23" s="20">
        <v>4.38168910311949E-6</v>
      </c>
      <c r="M23" s="20">
        <v>-5.9954517580586097E-6</v>
      </c>
      <c r="N23" s="20">
        <v>-1.0205241494595299E-3</v>
      </c>
      <c r="O23" s="20">
        <v>-6.0431608319746997E-5</v>
      </c>
      <c r="P23" s="20">
        <v>4.9155980640587296E-6</v>
      </c>
      <c r="Q23" s="20">
        <v>-6.1746869598004595E-5</v>
      </c>
      <c r="R23" s="57">
        <v>3.6234562264747103E-5</v>
      </c>
      <c r="S23" s="18"/>
      <c r="T23" s="14">
        <f t="shared" si="0"/>
        <v>2.6239068502125169E-2</v>
      </c>
      <c r="U23" s="150"/>
      <c r="V23" s="229">
        <f t="shared" si="1"/>
        <v>20</v>
      </c>
      <c r="W23" s="131" t="s">
        <v>20</v>
      </c>
      <c r="X23" s="130" t="s">
        <v>147</v>
      </c>
    </row>
    <row r="24" spans="1:24" s="14" customFormat="1" ht="12.75" customHeight="1">
      <c r="A24" s="23" t="s">
        <v>21</v>
      </c>
      <c r="B24" s="38">
        <v>1</v>
      </c>
      <c r="C24" s="22"/>
      <c r="D24" s="34"/>
      <c r="E24" s="20">
        <v>1.1615747693969599E-5</v>
      </c>
      <c r="F24" s="20">
        <v>-1.08008151503339E-5</v>
      </c>
      <c r="G24" s="20">
        <v>-3.00366660730468E-4</v>
      </c>
      <c r="H24" s="20">
        <v>-1.33827098551856E-6</v>
      </c>
      <c r="I24" s="20">
        <v>-1.3608194370431901E-5</v>
      </c>
      <c r="J24" s="20">
        <v>3.3368488034444803E-5</v>
      </c>
      <c r="K24" s="20">
        <v>2.6195347277672301E-6</v>
      </c>
      <c r="L24" s="20">
        <v>4.7123826203360604E-6</v>
      </c>
      <c r="M24" s="20">
        <v>-6.8409641854771398E-6</v>
      </c>
      <c r="N24" s="20">
        <v>4.9099956654054895E-4</v>
      </c>
      <c r="O24" s="20">
        <v>-6.9463759332097494E-5</v>
      </c>
      <c r="P24" s="20">
        <v>5.8093431666148601E-6</v>
      </c>
      <c r="Q24" s="20">
        <v>-7.2699751123149494E-5</v>
      </c>
      <c r="R24" s="57">
        <v>4.1579160198797298E-5</v>
      </c>
      <c r="S24" s="18"/>
      <c r="T24" s="14">
        <f t="shared" si="0"/>
        <v>3.0306436824686287E-2</v>
      </c>
      <c r="U24" s="150"/>
      <c r="V24" s="229">
        <f t="shared" si="1"/>
        <v>21</v>
      </c>
      <c r="W24" s="131" t="s">
        <v>21</v>
      </c>
      <c r="X24" s="130" t="s">
        <v>147</v>
      </c>
    </row>
    <row r="25" spans="1:24" s="14" customFormat="1" ht="12.75" customHeight="1">
      <c r="A25" s="222" t="s">
        <v>22</v>
      </c>
      <c r="B25" s="38">
        <v>1</v>
      </c>
      <c r="C25" s="22"/>
      <c r="D25" s="34"/>
      <c r="E25" s="20">
        <v>-9.74935933062567E-3</v>
      </c>
      <c r="F25" s="20">
        <v>-1.9832005219539599E-4</v>
      </c>
      <c r="G25" s="20">
        <v>-3.7757636435553602E-3</v>
      </c>
      <c r="H25" s="20">
        <v>-2.2514584416369601E-3</v>
      </c>
      <c r="I25" s="20">
        <v>-3.3869376528469402E-3</v>
      </c>
      <c r="J25" s="20">
        <v>-9.9810246916970792E-4</v>
      </c>
      <c r="K25" s="20">
        <v>-5.2402601531379995E-4</v>
      </c>
      <c r="L25" s="20">
        <v>9.1188737372467998E-5</v>
      </c>
      <c r="M25" s="20">
        <v>-6.3221270141066799E-4</v>
      </c>
      <c r="N25" s="20">
        <v>-3.5916625361251502E-3</v>
      </c>
      <c r="O25" s="20">
        <v>-6.6633995731424003E-3</v>
      </c>
      <c r="P25" s="20">
        <v>-1.0012738102074099E-2</v>
      </c>
      <c r="Q25" s="20">
        <v>-1.05944484772345E-2</v>
      </c>
      <c r="R25" s="57">
        <v>1.4225689145139699E-3</v>
      </c>
      <c r="S25" s="18"/>
      <c r="T25" s="14">
        <f t="shared" si="0"/>
        <v>1.1294465952880757</v>
      </c>
      <c r="U25" s="150">
        <v>1</v>
      </c>
      <c r="V25" s="129">
        <f t="shared" si="1"/>
        <v>22</v>
      </c>
      <c r="W25" s="128" t="s">
        <v>22</v>
      </c>
      <c r="X25" s="229"/>
    </row>
    <row r="26" spans="1:24" s="14" customFormat="1" ht="12.75" customHeight="1">
      <c r="A26" s="23" t="s">
        <v>23</v>
      </c>
      <c r="B26" s="38">
        <v>1</v>
      </c>
      <c r="C26" s="22"/>
      <c r="D26" s="34"/>
      <c r="E26" s="20">
        <v>-1.07445666169219E-4</v>
      </c>
      <c r="F26" s="20">
        <v>-6.8283119509738094E-5</v>
      </c>
      <c r="G26" s="20">
        <v>1.03362410035383E-3</v>
      </c>
      <c r="H26" s="20">
        <v>2.76778772004976E-5</v>
      </c>
      <c r="I26" s="20">
        <v>-2.41274121046308E-5</v>
      </c>
      <c r="J26" s="20">
        <v>2.0352093908408001E-4</v>
      </c>
      <c r="K26" s="20">
        <v>8.7516273859496204E-5</v>
      </c>
      <c r="L26" s="20">
        <v>3.2407964687223397E-5</v>
      </c>
      <c r="M26" s="20">
        <v>2.9592934959648301E-5</v>
      </c>
      <c r="N26" s="20">
        <v>1.10605675463E-3</v>
      </c>
      <c r="O26" s="20">
        <v>-7.4523626198191601E-3</v>
      </c>
      <c r="P26" s="20">
        <v>3.5638085964425797E-5</v>
      </c>
      <c r="Q26" s="20">
        <v>1.29380913015774E-5</v>
      </c>
      <c r="R26" s="57">
        <v>-1.9646379659945799E-3</v>
      </c>
      <c r="S26" s="18"/>
      <c r="T26" s="14">
        <f t="shared" si="0"/>
        <v>0.10662738963946344</v>
      </c>
      <c r="U26" s="150"/>
      <c r="V26" s="229">
        <f t="shared" si="1"/>
        <v>23</v>
      </c>
      <c r="W26" s="131" t="s">
        <v>23</v>
      </c>
      <c r="X26" s="130" t="s">
        <v>149</v>
      </c>
    </row>
    <row r="27" spans="1:24" s="14" customFormat="1" ht="12.75" customHeight="1" thickBot="1">
      <c r="A27" s="23" t="s">
        <v>24</v>
      </c>
      <c r="B27" s="38">
        <v>1</v>
      </c>
      <c r="C27" s="22"/>
      <c r="D27" s="34"/>
      <c r="E27" s="20">
        <v>-9.0865123089923702E-5</v>
      </c>
      <c r="F27" s="20">
        <v>1.18381815772021E-5</v>
      </c>
      <c r="G27" s="20">
        <v>1.6392657224874501E-3</v>
      </c>
      <c r="H27" s="20">
        <v>1.49643028380712E-5</v>
      </c>
      <c r="I27" s="20">
        <v>7.3133609009192298E-5</v>
      </c>
      <c r="J27" s="20">
        <v>-1.28285286438053E-4</v>
      </c>
      <c r="K27" s="20">
        <v>3.9293020916508498E-6</v>
      </c>
      <c r="L27" s="20">
        <v>-9.5901119992804093E-6</v>
      </c>
      <c r="M27" s="20">
        <v>4.3351728096731498E-5</v>
      </c>
      <c r="N27" s="20">
        <v>-2.7504034170063702E-3</v>
      </c>
      <c r="O27" s="20">
        <v>-3.73949674903088E-4</v>
      </c>
      <c r="P27" s="20">
        <v>-1.7539747637664102E-5</v>
      </c>
      <c r="Q27" s="20">
        <v>3.5391498428124498E-4</v>
      </c>
      <c r="R27" s="57">
        <v>-4.4378280133749E-4</v>
      </c>
      <c r="S27" s="18"/>
      <c r="T27" s="14">
        <f t="shared" si="0"/>
        <v>0.16491225163383691</v>
      </c>
      <c r="U27" s="150"/>
      <c r="V27" s="229">
        <f t="shared" si="1"/>
        <v>24</v>
      </c>
      <c r="W27" s="131" t="s">
        <v>24</v>
      </c>
      <c r="X27" s="130" t="s">
        <v>149</v>
      </c>
    </row>
    <row r="28" spans="1:24" s="14" customFormat="1" ht="12.75" customHeight="1">
      <c r="A28" s="24" t="s">
        <v>61</v>
      </c>
      <c r="B28" s="51">
        <v>1</v>
      </c>
      <c r="C28" s="44"/>
      <c r="D28" s="52"/>
      <c r="E28" s="53">
        <v>4.8788013822364997E-3</v>
      </c>
      <c r="F28" s="53">
        <v>8.3787476082601703E-3</v>
      </c>
      <c r="G28" s="53">
        <v>-9.1507796888969605E-4</v>
      </c>
      <c r="H28" s="53">
        <v>3.4335775353452501E-3</v>
      </c>
      <c r="I28" s="53">
        <v>4.3607166659556402E-3</v>
      </c>
      <c r="J28" s="53">
        <v>-9.6960953769793697E-3</v>
      </c>
      <c r="K28" s="53">
        <v>4.17660998390414E-3</v>
      </c>
      <c r="L28" s="53">
        <v>-3.9605509089441996E-3</v>
      </c>
      <c r="M28" s="53">
        <v>5.7240422688572701E-3</v>
      </c>
      <c r="N28" s="53">
        <v>-6.09190075503377E-4</v>
      </c>
      <c r="O28" s="53">
        <v>-1.7117322892787499E-3</v>
      </c>
      <c r="P28" s="53">
        <v>-4.0437497165152197E-3</v>
      </c>
      <c r="Q28" s="53">
        <v>-4.99143347753714E-3</v>
      </c>
      <c r="R28" s="56">
        <v>1.06516025097507E-2</v>
      </c>
      <c r="S28" s="18"/>
      <c r="T28" s="14">
        <f t="shared" si="0"/>
        <v>1.6898453969120617</v>
      </c>
      <c r="U28" s="150"/>
      <c r="V28" s="229">
        <f t="shared" si="1"/>
        <v>25</v>
      </c>
      <c r="W28" s="131" t="s">
        <v>61</v>
      </c>
      <c r="X28" s="130" t="s">
        <v>158</v>
      </c>
    </row>
    <row r="29" spans="1:24" s="14" customFormat="1" ht="12.75" customHeight="1">
      <c r="A29" s="23" t="s">
        <v>62</v>
      </c>
      <c r="B29" s="38">
        <v>1</v>
      </c>
      <c r="C29" s="22"/>
      <c r="D29" s="34"/>
      <c r="E29" s="20">
        <v>4.8359917314611499E-3</v>
      </c>
      <c r="F29" s="20">
        <v>8.2696410687754397E-3</v>
      </c>
      <c r="G29" s="20">
        <v>-9.0195359969969695E-4</v>
      </c>
      <c r="H29" s="20">
        <v>2.4604720373752301E-3</v>
      </c>
      <c r="I29" s="20">
        <v>4.29518026975448E-3</v>
      </c>
      <c r="J29" s="20">
        <v>-9.72660115290362E-3</v>
      </c>
      <c r="K29" s="20">
        <v>3.9751439493867701E-3</v>
      </c>
      <c r="L29" s="20">
        <v>-3.90515974481042E-3</v>
      </c>
      <c r="M29" s="20">
        <v>5.5609352351316203E-3</v>
      </c>
      <c r="N29" s="20">
        <v>-6.0000062205530999E-4</v>
      </c>
      <c r="O29" s="20">
        <v>-1.68063189300942E-3</v>
      </c>
      <c r="P29" s="20">
        <v>-4.0247576330859E-3</v>
      </c>
      <c r="Q29" s="20">
        <v>-4.93160336220604E-3</v>
      </c>
      <c r="R29" s="57">
        <v>1.05335684231733E-2</v>
      </c>
      <c r="S29" s="18"/>
      <c r="T29" s="14">
        <f t="shared" si="0"/>
        <v>1.654305318414262</v>
      </c>
      <c r="U29" s="150"/>
      <c r="V29" s="229">
        <f t="shared" si="1"/>
        <v>26</v>
      </c>
      <c r="W29" s="131" t="s">
        <v>62</v>
      </c>
      <c r="X29" s="130" t="s">
        <v>159</v>
      </c>
    </row>
    <row r="30" spans="1:24" s="14" customFormat="1" ht="12.75" customHeight="1">
      <c r="A30" s="23" t="s">
        <v>63</v>
      </c>
      <c r="B30" s="38">
        <v>1</v>
      </c>
      <c r="C30" s="22"/>
      <c r="D30" s="34"/>
      <c r="E30" s="20">
        <v>6.4259440347655501E-3</v>
      </c>
      <c r="F30" s="20">
        <v>1.11218495486723E-2</v>
      </c>
      <c r="G30" s="20">
        <v>-1.21832558871065E-3</v>
      </c>
      <c r="H30" s="20">
        <v>3.9621337441257502E-3</v>
      </c>
      <c r="I30" s="20">
        <v>5.7822303196080598E-3</v>
      </c>
      <c r="J30" s="20">
        <v>-1.2827991885284599E-2</v>
      </c>
      <c r="K30" s="20">
        <v>5.53388618216863E-3</v>
      </c>
      <c r="L30" s="20">
        <v>-5.2433110622272603E-3</v>
      </c>
      <c r="M30" s="20">
        <v>7.5883971713151099E-3</v>
      </c>
      <c r="N30" s="20">
        <v>-8.0789433429195802E-4</v>
      </c>
      <c r="O30" s="20">
        <v>-2.3893298451228202E-3</v>
      </c>
      <c r="P30" s="20">
        <v>-5.3733072747052897E-3</v>
      </c>
      <c r="Q30" s="20">
        <v>-6.6282047104509901E-3</v>
      </c>
      <c r="R30" s="57">
        <v>1.4162641006799001E-2</v>
      </c>
      <c r="S30" s="18"/>
      <c r="T30" s="14">
        <f t="shared" si="0"/>
        <v>2.2267973802025756</v>
      </c>
      <c r="U30" s="150"/>
      <c r="V30" s="229">
        <f t="shared" si="1"/>
        <v>27</v>
      </c>
      <c r="W30" s="131" t="s">
        <v>63</v>
      </c>
      <c r="X30" s="130" t="s">
        <v>160</v>
      </c>
    </row>
    <row r="31" spans="1:24" s="14" customFormat="1" ht="12.75" customHeight="1">
      <c r="A31" s="23" t="s">
        <v>64</v>
      </c>
      <c r="B31" s="38">
        <v>1</v>
      </c>
      <c r="C31" s="22"/>
      <c r="D31" s="34"/>
      <c r="E31" s="20">
        <v>6.6663150717230198E-3</v>
      </c>
      <c r="F31" s="20">
        <v>1.14732116596081E-2</v>
      </c>
      <c r="G31" s="20">
        <v>-1.25118986277991E-3</v>
      </c>
      <c r="H31" s="20">
        <v>2.9906706696379501E-3</v>
      </c>
      <c r="I31" s="20">
        <v>5.94769928428411E-3</v>
      </c>
      <c r="J31" s="20">
        <v>-1.34322030600424E-2</v>
      </c>
      <c r="K31" s="20">
        <v>5.5009038585508404E-3</v>
      </c>
      <c r="L31" s="20">
        <v>-5.3983236484225197E-3</v>
      </c>
      <c r="M31" s="20">
        <v>7.69938989360532E-3</v>
      </c>
      <c r="N31" s="20">
        <v>-8.26697369808771E-4</v>
      </c>
      <c r="O31" s="20">
        <v>-2.4568381903182202E-3</v>
      </c>
      <c r="P31" s="20">
        <v>-5.5760756948477104E-3</v>
      </c>
      <c r="Q31" s="20">
        <v>-6.8197432261219602E-3</v>
      </c>
      <c r="R31" s="57">
        <v>1.4645828894599399E-2</v>
      </c>
      <c r="S31" s="18"/>
      <c r="T31" s="14">
        <f t="shared" si="0"/>
        <v>2.2826860966391758</v>
      </c>
      <c r="U31" s="150"/>
      <c r="V31" s="229">
        <f t="shared" si="1"/>
        <v>28</v>
      </c>
      <c r="W31" s="131" t="s">
        <v>64</v>
      </c>
      <c r="X31" s="130" t="s">
        <v>161</v>
      </c>
    </row>
    <row r="32" spans="1:24" s="14" customFormat="1" ht="12.75" customHeight="1">
      <c r="A32" s="222" t="s">
        <v>65</v>
      </c>
      <c r="B32" s="38">
        <v>1</v>
      </c>
      <c r="C32" s="22"/>
      <c r="D32" s="34"/>
      <c r="E32" s="20">
        <v>1.13703181862422E-2</v>
      </c>
      <c r="F32" s="20">
        <v>5.2719572028988599E-3</v>
      </c>
      <c r="G32" s="20">
        <v>2.7016994137461598E-3</v>
      </c>
      <c r="H32" s="20">
        <v>7.0837116483471495E-4</v>
      </c>
      <c r="I32" s="20">
        <v>3.2090292957709298E-3</v>
      </c>
      <c r="J32" s="20">
        <v>-1.83451537996554E-2</v>
      </c>
      <c r="K32" s="20">
        <v>-6.0422545239960102E-3</v>
      </c>
      <c r="L32" s="20">
        <v>-2.4816894999517098E-3</v>
      </c>
      <c r="M32" s="20">
        <v>-7.2506533889444701E-4</v>
      </c>
      <c r="N32" s="20">
        <v>2.7574722273510299E-3</v>
      </c>
      <c r="O32" s="20">
        <v>4.8213994563762403E-3</v>
      </c>
      <c r="P32" s="20">
        <v>-2.7983159161032501E-3</v>
      </c>
      <c r="Q32" s="20">
        <v>6.2814775546706199E-3</v>
      </c>
      <c r="R32" s="57">
        <v>5.2169616884726201E-3</v>
      </c>
      <c r="S32" s="18"/>
      <c r="T32" s="14">
        <f t="shared" si="0"/>
        <v>2.3556623634165121</v>
      </c>
      <c r="U32" s="150">
        <v>1</v>
      </c>
      <c r="V32" s="129">
        <f t="shared" si="1"/>
        <v>29</v>
      </c>
      <c r="W32" s="128" t="s">
        <v>65</v>
      </c>
      <c r="X32" s="229"/>
    </row>
    <row r="33" spans="1:24" s="14" customFormat="1" ht="12.75" customHeight="1">
      <c r="A33" s="23" t="s">
        <v>66</v>
      </c>
      <c r="B33" s="38">
        <v>1</v>
      </c>
      <c r="C33" s="22"/>
      <c r="D33" s="34"/>
      <c r="E33" s="20">
        <v>5.9036100900754299E-3</v>
      </c>
      <c r="F33" s="20">
        <v>4.1999305330623297E-3</v>
      </c>
      <c r="G33" s="20">
        <v>1.06350071314407E-3</v>
      </c>
      <c r="H33" s="20">
        <v>1.29921780494116E-3</v>
      </c>
      <c r="I33" s="20">
        <v>1.7961146851869401E-3</v>
      </c>
      <c r="J33" s="20">
        <v>-1.14150645393972E-2</v>
      </c>
      <c r="K33" s="20">
        <v>-3.9495439509108698E-3</v>
      </c>
      <c r="L33" s="20">
        <v>-1.9891215060576402E-3</v>
      </c>
      <c r="M33" s="20">
        <v>-7.9086157870083401E-4</v>
      </c>
      <c r="N33" s="20">
        <v>8.6133454049763802E-4</v>
      </c>
      <c r="O33" s="20">
        <v>4.8641392225068497E-3</v>
      </c>
      <c r="P33" s="20">
        <v>-2.2119074106886098E-3</v>
      </c>
      <c r="Q33" s="20">
        <v>-1.67866600474752E-3</v>
      </c>
      <c r="R33" s="57">
        <v>1.16956108350037E-3</v>
      </c>
      <c r="S33" s="18"/>
      <c r="T33" s="14">
        <f t="shared" si="0"/>
        <v>1.445758345898007</v>
      </c>
      <c r="U33" s="150"/>
      <c r="V33" s="229">
        <f t="shared" si="1"/>
        <v>30</v>
      </c>
      <c r="W33" s="131" t="s">
        <v>66</v>
      </c>
      <c r="X33" s="130" t="s">
        <v>162</v>
      </c>
    </row>
    <row r="34" spans="1:24" s="14" customFormat="1" ht="12.75" customHeight="1">
      <c r="A34" s="23" t="s">
        <v>67</v>
      </c>
      <c r="B34" s="38">
        <v>1</v>
      </c>
      <c r="C34" s="22"/>
      <c r="D34" s="34"/>
      <c r="E34" s="20">
        <v>5.8168666839091797E-3</v>
      </c>
      <c r="F34" s="20">
        <v>3.8769434449791801E-3</v>
      </c>
      <c r="G34" s="20">
        <v>-1.20904249830797E-3</v>
      </c>
      <c r="H34" s="20">
        <v>1.33243125758176E-3</v>
      </c>
      <c r="I34" s="20">
        <v>1.7306617748408101E-3</v>
      </c>
      <c r="J34" s="20">
        <v>-1.0995229916486601E-2</v>
      </c>
      <c r="K34" s="20">
        <v>-3.8679216301888502E-3</v>
      </c>
      <c r="L34" s="20">
        <v>-1.83328218606933E-3</v>
      </c>
      <c r="M34" s="20">
        <v>-7.9708762475728002E-4</v>
      </c>
      <c r="N34" s="20">
        <v>-1.5909771442741299E-3</v>
      </c>
      <c r="O34" s="20">
        <v>6.2793003677202803E-3</v>
      </c>
      <c r="P34" s="20">
        <v>-2.0582949711867699E-3</v>
      </c>
      <c r="Q34" s="20">
        <v>-2.3623311784451602E-3</v>
      </c>
      <c r="R34" s="57">
        <v>4.9234617341281702E-3</v>
      </c>
      <c r="S34" s="18"/>
      <c r="T34" s="14">
        <f t="shared" si="0"/>
        <v>1.3962490694740517</v>
      </c>
      <c r="U34" s="150"/>
      <c r="V34" s="229">
        <f t="shared" si="1"/>
        <v>31</v>
      </c>
      <c r="W34" s="131" t="s">
        <v>67</v>
      </c>
      <c r="X34" s="130" t="s">
        <v>164</v>
      </c>
    </row>
    <row r="35" spans="1:24" s="14" customFormat="1" ht="12.75" customHeight="1">
      <c r="A35" s="23" t="s">
        <v>68</v>
      </c>
      <c r="B35" s="38">
        <v>1</v>
      </c>
      <c r="C35" s="22"/>
      <c r="D35" s="34"/>
      <c r="E35" s="20">
        <v>5.7194442838952404E-3</v>
      </c>
      <c r="F35" s="20">
        <v>3.79187939797598E-3</v>
      </c>
      <c r="G35" s="20">
        <v>-2.34424708214862E-4</v>
      </c>
      <c r="H35" s="20">
        <v>1.3604741177783001E-3</v>
      </c>
      <c r="I35" s="20">
        <v>1.70611693346102E-3</v>
      </c>
      <c r="J35" s="20">
        <v>-1.07882200470182E-2</v>
      </c>
      <c r="K35" s="20">
        <v>-3.7823700073751801E-3</v>
      </c>
      <c r="L35" s="20">
        <v>-1.79392965752056E-3</v>
      </c>
      <c r="M35" s="20">
        <v>-7.68878255587953E-4</v>
      </c>
      <c r="N35" s="20">
        <v>-5.4818624222890305E-4</v>
      </c>
      <c r="O35" s="20">
        <v>-8.3701036546410799E-4</v>
      </c>
      <c r="P35" s="20">
        <v>-2.01472489743716E-3</v>
      </c>
      <c r="Q35" s="20">
        <v>-2.3471340553290199E-3</v>
      </c>
      <c r="R35" s="57">
        <v>4.7015250402565904E-3</v>
      </c>
      <c r="S35" s="18"/>
      <c r="T35" s="14">
        <f t="shared" si="0"/>
        <v>1.3653147772166307</v>
      </c>
      <c r="U35" s="150"/>
      <c r="V35" s="229">
        <f t="shared" si="1"/>
        <v>32</v>
      </c>
      <c r="W35" s="131" t="s">
        <v>68</v>
      </c>
      <c r="X35" s="130" t="s">
        <v>163</v>
      </c>
    </row>
    <row r="36" spans="1:24" s="14" customFormat="1" ht="12.75" customHeight="1">
      <c r="A36" s="222" t="s">
        <v>69</v>
      </c>
      <c r="B36" s="38">
        <v>1</v>
      </c>
      <c r="C36" s="22"/>
      <c r="D36" s="34"/>
      <c r="E36" s="20">
        <v>4.2366566206061603E-3</v>
      </c>
      <c r="F36" s="20">
        <v>4.76145087777065E-3</v>
      </c>
      <c r="G36" s="20">
        <v>6.8289400663410106E-5</v>
      </c>
      <c r="H36" s="20">
        <v>-6.3269802365357401E-4</v>
      </c>
      <c r="I36" s="20">
        <v>1.40473299679072E-3</v>
      </c>
      <c r="J36" s="20">
        <v>7.3483136076067899E-3</v>
      </c>
      <c r="K36" s="20">
        <v>5.1072592308236296E-3</v>
      </c>
      <c r="L36" s="20">
        <v>-2.2536763198308901E-3</v>
      </c>
      <c r="M36" s="20">
        <v>2.2025598734252499E-3</v>
      </c>
      <c r="N36" s="20">
        <v>2.1588146792612099E-4</v>
      </c>
      <c r="O36" s="20">
        <v>1.1360024984605699E-5</v>
      </c>
      <c r="P36" s="20">
        <v>-1.0561832749457099E-3</v>
      </c>
      <c r="Q36" s="20">
        <v>-1.1644966726514999E-3</v>
      </c>
      <c r="R36" s="57">
        <v>5.8258835073316997E-3</v>
      </c>
      <c r="S36" s="18"/>
      <c r="T36" s="14">
        <f t="shared" si="0"/>
        <v>1.1533041900693914</v>
      </c>
      <c r="U36" s="150">
        <v>1</v>
      </c>
      <c r="V36" s="129">
        <f t="shared" si="1"/>
        <v>33</v>
      </c>
      <c r="W36" s="128" t="s">
        <v>69</v>
      </c>
      <c r="X36" s="229"/>
    </row>
    <row r="37" spans="1:24" s="14" customFormat="1" ht="12.75" customHeight="1">
      <c r="A37" s="23" t="s">
        <v>70</v>
      </c>
      <c r="B37" s="38">
        <v>1</v>
      </c>
      <c r="C37" s="22"/>
      <c r="D37" s="34"/>
      <c r="E37" s="20">
        <v>1.2656668567964701E-2</v>
      </c>
      <c r="F37" s="20">
        <v>5.4741826345836402E-3</v>
      </c>
      <c r="G37" s="20">
        <v>3.0643801525819898E-3</v>
      </c>
      <c r="H37" s="20">
        <v>1.07949804131875E-3</v>
      </c>
      <c r="I37" s="20">
        <v>-2.0454869341714802E-3</v>
      </c>
      <c r="J37" s="20">
        <v>9.1521800760425796E-3</v>
      </c>
      <c r="K37" s="20">
        <v>2.9062547106973899E-3</v>
      </c>
      <c r="L37" s="20">
        <v>-2.59090103401248E-3</v>
      </c>
      <c r="M37" s="20">
        <v>-7.3282868027347203E-4</v>
      </c>
      <c r="N37" s="20">
        <v>3.12257628165307E-3</v>
      </c>
      <c r="O37" s="20">
        <v>5.5719991399902401E-3</v>
      </c>
      <c r="P37" s="20">
        <v>7.21676826686513E-3</v>
      </c>
      <c r="Q37" s="20">
        <v>7.2801065277257101E-3</v>
      </c>
      <c r="R37" s="57">
        <v>5.4060155170889404E-3</v>
      </c>
      <c r="S37" s="18"/>
      <c r="T37" s="14">
        <f t="shared" si="0"/>
        <v>1.7445807975704029</v>
      </c>
      <c r="U37" s="150"/>
      <c r="V37" s="229">
        <f t="shared" si="1"/>
        <v>34</v>
      </c>
      <c r="W37" s="131" t="s">
        <v>70</v>
      </c>
      <c r="X37" s="130" t="s">
        <v>156</v>
      </c>
    </row>
    <row r="38" spans="1:24" s="14" customFormat="1" ht="12.75" customHeight="1">
      <c r="A38" s="222" t="s">
        <v>71</v>
      </c>
      <c r="B38" s="38">
        <v>1</v>
      </c>
      <c r="C38" s="22"/>
      <c r="D38" s="34"/>
      <c r="E38" s="20">
        <v>1.30801749818714E-2</v>
      </c>
      <c r="F38" s="20">
        <v>6.3717486800427504E-3</v>
      </c>
      <c r="G38" s="20">
        <v>2.9804055302037002E-3</v>
      </c>
      <c r="H38" s="20">
        <v>7.9523711789473896E-4</v>
      </c>
      <c r="I38" s="20">
        <v>3.0570015537552402E-3</v>
      </c>
      <c r="J38" s="20">
        <v>-5.6716589085677397E-3</v>
      </c>
      <c r="K38" s="20">
        <v>-1.3367366646035799E-3</v>
      </c>
      <c r="L38" s="20">
        <v>-3.0108818008775201E-3</v>
      </c>
      <c r="M38" s="20">
        <v>-9.6772740556356405E-5</v>
      </c>
      <c r="N38" s="20">
        <v>3.0638344676888899E-3</v>
      </c>
      <c r="O38" s="20">
        <v>5.3475920890648301E-3</v>
      </c>
      <c r="P38" s="20">
        <v>-1.9271378773866601E-3</v>
      </c>
      <c r="Q38" s="20">
        <v>6.7918133782328399E-3</v>
      </c>
      <c r="R38" s="57">
        <v>6.4449510036248998E-3</v>
      </c>
      <c r="S38" s="18"/>
      <c r="T38" s="14">
        <f t="shared" si="0"/>
        <v>1.6540253636616666</v>
      </c>
      <c r="U38" s="150">
        <v>1</v>
      </c>
      <c r="V38" s="129">
        <f t="shared" si="1"/>
        <v>35</v>
      </c>
      <c r="W38" s="128" t="s">
        <v>71</v>
      </c>
      <c r="X38" s="229"/>
    </row>
    <row r="39" spans="1:24" s="14" customFormat="1" ht="12.75" customHeight="1">
      <c r="A39" s="222" t="s">
        <v>72</v>
      </c>
      <c r="B39" s="38">
        <v>1</v>
      </c>
      <c r="C39" s="22"/>
      <c r="D39" s="34"/>
      <c r="E39" s="20">
        <v>1.54850094560617E-2</v>
      </c>
      <c r="F39" s="20">
        <v>9.8469262100513207E-3</v>
      </c>
      <c r="G39" s="20">
        <v>2.8278214005964001E-3</v>
      </c>
      <c r="H39" s="20">
        <v>1.01100289905993E-4</v>
      </c>
      <c r="I39" s="20">
        <v>4.0257714155619399E-3</v>
      </c>
      <c r="J39" s="20">
        <v>-1.2271462759112299E-2</v>
      </c>
      <c r="K39" s="20">
        <v>-3.3955718908682698E-3</v>
      </c>
      <c r="L39" s="20">
        <v>-4.6392993530312001E-3</v>
      </c>
      <c r="M39" s="20">
        <v>-4.7771452149146499E-4</v>
      </c>
      <c r="N39" s="20">
        <v>3.0071426087246601E-3</v>
      </c>
      <c r="O39" s="20">
        <v>4.8844382835449198E-3</v>
      </c>
      <c r="P39" s="20">
        <v>-3.7764082127131199E-3</v>
      </c>
      <c r="Q39" s="20">
        <v>5.3256332750731298E-3</v>
      </c>
      <c r="R39" s="57">
        <v>1.07048673162799E-2</v>
      </c>
      <c r="S39" s="18"/>
      <c r="T39" s="14">
        <f t="shared" si="0"/>
        <v>2.3341617781091695</v>
      </c>
      <c r="U39" s="150">
        <v>1</v>
      </c>
      <c r="V39" s="129">
        <f t="shared" si="1"/>
        <v>36</v>
      </c>
      <c r="W39" s="128" t="s">
        <v>72</v>
      </c>
      <c r="X39" s="229"/>
    </row>
    <row r="40" spans="1:24" s="14" customFormat="1" ht="12.75" customHeight="1">
      <c r="A40" s="23" t="s">
        <v>73</v>
      </c>
      <c r="B40" s="38">
        <v>1</v>
      </c>
      <c r="C40" s="22"/>
      <c r="D40" s="34"/>
      <c r="E40" s="20">
        <v>1.0600587550747401E-2</v>
      </c>
      <c r="F40" s="20">
        <v>7.8228412465678396E-3</v>
      </c>
      <c r="G40" s="20">
        <v>1.3275886297720999E-3</v>
      </c>
      <c r="H40" s="20">
        <v>7.8343600102243895E-4</v>
      </c>
      <c r="I40" s="20">
        <v>2.5726166228518901E-3</v>
      </c>
      <c r="J40" s="20">
        <v>-4.79835279545179E-3</v>
      </c>
      <c r="K40" s="20">
        <v>-1.12687621198132E-3</v>
      </c>
      <c r="L40" s="20">
        <v>-3.6897129183438302E-3</v>
      </c>
      <c r="M40" s="20">
        <v>-3.7217919759640797E-4</v>
      </c>
      <c r="N40" s="20">
        <v>1.2600861320402801E-3</v>
      </c>
      <c r="O40" s="20">
        <v>5.2785007895682903E-3</v>
      </c>
      <c r="P40" s="20">
        <v>-2.7411162295396599E-3</v>
      </c>
      <c r="Q40" s="20">
        <v>-2.3007212198662202E-3</v>
      </c>
      <c r="R40" s="57">
        <v>6.8046696205081797E-3</v>
      </c>
      <c r="S40" s="18"/>
      <c r="T40" s="14">
        <f t="shared" si="0"/>
        <v>1.485296131205835</v>
      </c>
      <c r="U40" s="150"/>
      <c r="V40" s="229">
        <f t="shared" si="1"/>
        <v>37</v>
      </c>
      <c r="W40" s="131" t="s">
        <v>73</v>
      </c>
      <c r="X40" s="130" t="s">
        <v>168</v>
      </c>
    </row>
    <row r="41" spans="1:24" s="14" customFormat="1" ht="12.75" customHeight="1">
      <c r="A41" s="23" t="s">
        <v>74</v>
      </c>
      <c r="B41" s="38">
        <v>1</v>
      </c>
      <c r="C41" s="22"/>
      <c r="D41" s="34"/>
      <c r="E41" s="20">
        <v>1.05470052307398E-2</v>
      </c>
      <c r="F41" s="20">
        <v>7.5387248887149897E-3</v>
      </c>
      <c r="G41" s="20">
        <v>-1.10170009664017E-3</v>
      </c>
      <c r="H41" s="20">
        <v>8.0545664178415302E-4</v>
      </c>
      <c r="I41" s="20">
        <v>2.5170150433997001E-3</v>
      </c>
      <c r="J41" s="20">
        <v>-4.46609927116244E-3</v>
      </c>
      <c r="K41" s="20">
        <v>-1.0780576102365699E-3</v>
      </c>
      <c r="L41" s="20">
        <v>-3.5606597732500602E-3</v>
      </c>
      <c r="M41" s="20">
        <v>-3.8916631091090703E-4</v>
      </c>
      <c r="N41" s="20">
        <v>-1.35820121962426E-3</v>
      </c>
      <c r="O41" s="20">
        <v>6.7888254227675198E-3</v>
      </c>
      <c r="P41" s="20">
        <v>-2.6133106798741298E-3</v>
      </c>
      <c r="Q41" s="20">
        <v>-2.9427654437683098E-3</v>
      </c>
      <c r="R41" s="57">
        <v>1.08902976886697E-2</v>
      </c>
      <c r="S41" s="18"/>
      <c r="T41" s="14">
        <f t="shared" si="0"/>
        <v>1.4498536473302086</v>
      </c>
      <c r="U41" s="150"/>
      <c r="V41" s="229">
        <f t="shared" si="1"/>
        <v>38</v>
      </c>
      <c r="W41" s="131" t="s">
        <v>74</v>
      </c>
      <c r="X41" s="130" t="s">
        <v>169</v>
      </c>
    </row>
    <row r="42" spans="1:24" s="14" customFormat="1" ht="12.75" customHeight="1">
      <c r="A42" s="23" t="s">
        <v>75</v>
      </c>
      <c r="B42" s="38">
        <v>1</v>
      </c>
      <c r="C42" s="22"/>
      <c r="D42" s="34"/>
      <c r="E42" s="20">
        <v>1.04283185184151E-2</v>
      </c>
      <c r="F42" s="20">
        <v>7.4620207946812598E-3</v>
      </c>
      <c r="G42" s="20">
        <v>-8.3654515812677397E-5</v>
      </c>
      <c r="H42" s="20">
        <v>8.3568939995700504E-4</v>
      </c>
      <c r="I42" s="20">
        <v>2.4853739043420699E-3</v>
      </c>
      <c r="J42" s="20">
        <v>-4.2583737236665097E-3</v>
      </c>
      <c r="K42" s="20">
        <v>-9.9018412709601391E-4</v>
      </c>
      <c r="L42" s="20">
        <v>-3.5413142024928999E-3</v>
      </c>
      <c r="M42" s="20">
        <v>-3.6456958574964098E-4</v>
      </c>
      <c r="N42" s="20">
        <v>-2.69887178959375E-4</v>
      </c>
      <c r="O42" s="20">
        <v>-6.3411287004233802E-4</v>
      </c>
      <c r="P42" s="20">
        <v>-2.5803538292173702E-3</v>
      </c>
      <c r="Q42" s="20">
        <v>-2.95673036771287E-3</v>
      </c>
      <c r="R42" s="57">
        <v>9.16553252486778E-3</v>
      </c>
      <c r="S42" s="18"/>
      <c r="T42" s="14">
        <f t="shared" si="0"/>
        <v>1.4251388297179108</v>
      </c>
      <c r="U42" s="150"/>
      <c r="V42" s="229">
        <f t="shared" si="1"/>
        <v>39</v>
      </c>
      <c r="W42" s="131" t="s">
        <v>75</v>
      </c>
      <c r="X42" s="130" t="s">
        <v>170</v>
      </c>
    </row>
    <row r="43" spans="1:24" s="14" customFormat="1" ht="12.75" customHeight="1">
      <c r="A43" s="23" t="s">
        <v>76</v>
      </c>
      <c r="B43" s="38">
        <v>1</v>
      </c>
      <c r="C43" s="22"/>
      <c r="D43" s="34"/>
      <c r="E43" s="20">
        <v>1.4438374383604201E-2</v>
      </c>
      <c r="F43" s="20">
        <v>8.0064551041235197E-3</v>
      </c>
      <c r="G43" s="20">
        <v>3.12626742193321E-3</v>
      </c>
      <c r="H43" s="20">
        <v>7.7972534056259201E-4</v>
      </c>
      <c r="I43" s="20">
        <v>-4.4999710721512296E-3</v>
      </c>
      <c r="J43" s="20">
        <v>1.3183862784483099E-2</v>
      </c>
      <c r="K43" s="20">
        <v>4.0918323145327697E-3</v>
      </c>
      <c r="L43" s="20">
        <v>-3.77842145433717E-3</v>
      </c>
      <c r="M43" s="20">
        <v>-1.6087026903129299E-3</v>
      </c>
      <c r="N43" s="20">
        <v>3.2558940447534801E-3</v>
      </c>
      <c r="O43" s="20">
        <v>5.6284268050777004E-3</v>
      </c>
      <c r="P43" s="20">
        <v>6.8590467895670399E-3</v>
      </c>
      <c r="Q43" s="20">
        <v>6.7265068221391599E-3</v>
      </c>
      <c r="R43" s="57">
        <v>8.4933813948567197E-3</v>
      </c>
      <c r="S43" s="18"/>
      <c r="T43" s="14">
        <f t="shared" si="0"/>
        <v>2.2596967939716301</v>
      </c>
      <c r="U43" s="150"/>
      <c r="V43" s="229">
        <f t="shared" si="1"/>
        <v>40</v>
      </c>
      <c r="W43" s="131" t="s">
        <v>76</v>
      </c>
      <c r="X43" s="130" t="s">
        <v>167</v>
      </c>
    </row>
    <row r="44" spans="1:24" s="14" customFormat="1" ht="12.75" customHeight="1">
      <c r="A44" s="222" t="s">
        <v>77</v>
      </c>
      <c r="B44" s="38">
        <v>1</v>
      </c>
      <c r="C44" s="22"/>
      <c r="D44" s="34"/>
      <c r="E44" s="20">
        <v>1.50926032698517E-2</v>
      </c>
      <c r="F44" s="20">
        <v>8.9596728073063799E-3</v>
      </c>
      <c r="G44" s="20">
        <v>2.9614125406441901E-3</v>
      </c>
      <c r="H44" s="20">
        <v>3.89862670281296E-4</v>
      </c>
      <c r="I44" s="20">
        <v>7.3784798678452304E-4</v>
      </c>
      <c r="J44" s="20">
        <v>-2.1536541044000598E-3</v>
      </c>
      <c r="K44" s="20">
        <v>-4.4579718276184201E-4</v>
      </c>
      <c r="L44" s="20">
        <v>-4.2268418636828399E-3</v>
      </c>
      <c r="M44" s="20">
        <v>-8.2068510795886996E-4</v>
      </c>
      <c r="N44" s="20">
        <v>3.11557815941185E-3</v>
      </c>
      <c r="O44" s="20">
        <v>5.2034501327027803E-3</v>
      </c>
      <c r="P44" s="20">
        <v>-3.0731425351392598E-3</v>
      </c>
      <c r="Q44" s="20">
        <v>5.9674721324466202E-3</v>
      </c>
      <c r="R44" s="57">
        <v>9.6292443354508792E-3</v>
      </c>
      <c r="S44" s="18"/>
      <c r="T44" s="14">
        <f t="shared" si="0"/>
        <v>1.8463625439789824</v>
      </c>
      <c r="U44" s="150">
        <v>1</v>
      </c>
      <c r="V44" s="129">
        <f t="shared" si="1"/>
        <v>41</v>
      </c>
      <c r="W44" s="128" t="s">
        <v>77</v>
      </c>
      <c r="X44" s="229"/>
    </row>
    <row r="45" spans="1:24" s="14" customFormat="1" ht="12.75" customHeight="1">
      <c r="A45" s="23" t="s">
        <v>78</v>
      </c>
      <c r="B45" s="38">
        <v>1</v>
      </c>
      <c r="C45" s="22"/>
      <c r="D45" s="34"/>
      <c r="E45" s="20">
        <v>1.7889843930251899E-2</v>
      </c>
      <c r="F45" s="20">
        <v>1.3012724458635E-2</v>
      </c>
      <c r="G45" s="20">
        <v>2.7852472273702999E-3</v>
      </c>
      <c r="H45" s="20">
        <v>-4.17966360977186E-4</v>
      </c>
      <c r="I45" s="20">
        <v>1.88778215401353E-3</v>
      </c>
      <c r="J45" s="20">
        <v>-9.8000476104807797E-3</v>
      </c>
      <c r="K45" s="20">
        <v>-2.8049263446369402E-3</v>
      </c>
      <c r="L45" s="20">
        <v>-6.1035275738868496E-3</v>
      </c>
      <c r="M45" s="20">
        <v>-1.2512046630471501E-3</v>
      </c>
      <c r="N45" s="20">
        <v>3.0669447442405401E-3</v>
      </c>
      <c r="O45" s="20">
        <v>4.5952232212319198E-3</v>
      </c>
      <c r="P45" s="20">
        <v>-5.18517393061722E-3</v>
      </c>
      <c r="Q45" s="20">
        <v>4.2701177735968198E-3</v>
      </c>
      <c r="R45" s="57">
        <v>1.45815125465795E-2</v>
      </c>
      <c r="S45" s="18"/>
      <c r="T45" s="14">
        <f t="shared" si="0"/>
        <v>2.536928536760898</v>
      </c>
      <c r="U45" s="150"/>
      <c r="V45" s="229">
        <f t="shared" si="1"/>
        <v>42</v>
      </c>
      <c r="W45" s="131" t="s">
        <v>78</v>
      </c>
      <c r="X45" s="130" t="s">
        <v>171</v>
      </c>
    </row>
    <row r="46" spans="1:24" s="14" customFormat="1" ht="12.75" customHeight="1">
      <c r="A46" s="23" t="s">
        <v>79</v>
      </c>
      <c r="B46" s="38">
        <v>1</v>
      </c>
      <c r="C46" s="22"/>
      <c r="D46" s="34"/>
      <c r="E46" s="20">
        <v>1.34317387003833E-2</v>
      </c>
      <c r="F46" s="20">
        <v>9.6406733557681101E-3</v>
      </c>
      <c r="G46" s="20">
        <v>1.37827216932698E-3</v>
      </c>
      <c r="H46" s="20">
        <v>4.1778386947916002E-4</v>
      </c>
      <c r="I46" s="20">
        <v>4.18180647861923E-4</v>
      </c>
      <c r="J46" s="20">
        <v>-1.35370498910782E-3</v>
      </c>
      <c r="K46" s="20">
        <v>-2.4647440393082601E-4</v>
      </c>
      <c r="L46" s="20">
        <v>-4.5545591392444499E-3</v>
      </c>
      <c r="M46" s="20">
        <v>-9.7533701741032996E-4</v>
      </c>
      <c r="N46" s="20">
        <v>1.3914953163476399E-3</v>
      </c>
      <c r="O46" s="20">
        <v>5.5186442685461398E-3</v>
      </c>
      <c r="P46" s="20">
        <v>-3.53487359874732E-3</v>
      </c>
      <c r="Q46" s="20">
        <v>-3.3256371085816599E-3</v>
      </c>
      <c r="R46" s="57">
        <v>1.06191725765237E-2</v>
      </c>
      <c r="S46" s="18"/>
      <c r="T46" s="14">
        <f t="shared" si="0"/>
        <v>1.7297161557212521</v>
      </c>
      <c r="U46" s="150"/>
      <c r="V46" s="229">
        <f t="shared" si="1"/>
        <v>43</v>
      </c>
      <c r="W46" s="131" t="s">
        <v>79</v>
      </c>
      <c r="X46" s="130" t="s">
        <v>174</v>
      </c>
    </row>
    <row r="47" spans="1:24" s="14" customFormat="1" ht="12.75" customHeight="1">
      <c r="A47" s="23" t="s">
        <v>80</v>
      </c>
      <c r="B47" s="38">
        <v>1</v>
      </c>
      <c r="C47" s="22"/>
      <c r="D47" s="34"/>
      <c r="E47" s="20">
        <v>1.34351110142299E-2</v>
      </c>
      <c r="F47" s="20">
        <v>9.4042148319966705E-3</v>
      </c>
      <c r="G47" s="20">
        <v>-1.3520234309469801E-3</v>
      </c>
      <c r="H47" s="20">
        <v>4.2727342737647399E-4</v>
      </c>
      <c r="I47" s="20">
        <v>3.7810743744592701E-4</v>
      </c>
      <c r="J47" s="20">
        <v>-1.1186942168116101E-3</v>
      </c>
      <c r="K47" s="20">
        <v>-2.36948823102581E-4</v>
      </c>
      <c r="L47" s="20">
        <v>-4.4321198644950198E-3</v>
      </c>
      <c r="M47" s="20">
        <v>-1.00116357882966E-3</v>
      </c>
      <c r="N47" s="20">
        <v>-1.54637295099928E-3</v>
      </c>
      <c r="O47" s="20">
        <v>7.1442452208514504E-3</v>
      </c>
      <c r="P47" s="20">
        <v>-3.4200273530688601E-3</v>
      </c>
      <c r="Q47" s="20">
        <v>-3.9174349884871498E-3</v>
      </c>
      <c r="R47" s="57">
        <v>1.5310461352940501E-2</v>
      </c>
      <c r="S47" s="18"/>
      <c r="T47" s="14">
        <f t="shared" si="0"/>
        <v>1.7118662221247753</v>
      </c>
      <c r="U47" s="150"/>
      <c r="V47" s="229">
        <f t="shared" si="1"/>
        <v>44</v>
      </c>
      <c r="W47" s="131" t="s">
        <v>80</v>
      </c>
      <c r="X47" s="130" t="s">
        <v>175</v>
      </c>
    </row>
    <row r="48" spans="1:24" s="14" customFormat="1" ht="12.75" customHeight="1">
      <c r="A48" s="23" t="s">
        <v>81</v>
      </c>
      <c r="B48" s="38">
        <v>1</v>
      </c>
      <c r="C48" s="22"/>
      <c r="D48" s="34"/>
      <c r="E48" s="20">
        <v>1.3315674898828201E-2</v>
      </c>
      <c r="F48" s="20">
        <v>9.3273886948539008E-3</v>
      </c>
      <c r="G48" s="20">
        <v>-2.3655875198559399E-4</v>
      </c>
      <c r="H48" s="20">
        <v>4.5811449054274301E-4</v>
      </c>
      <c r="I48" s="20">
        <v>3.4997270429969603E-4</v>
      </c>
      <c r="J48" s="20">
        <v>-8.9513429295618005E-4</v>
      </c>
      <c r="K48" s="20">
        <v>-1.4157394505978299E-4</v>
      </c>
      <c r="L48" s="20">
        <v>-4.3996292264284901E-3</v>
      </c>
      <c r="M48" s="20">
        <v>-9.7011021331356098E-4</v>
      </c>
      <c r="N48" s="20">
        <v>-3.5315776481954802E-4</v>
      </c>
      <c r="O48" s="20">
        <v>-9.37015831312195E-4</v>
      </c>
      <c r="P48" s="20">
        <v>-3.3814845955211299E-3</v>
      </c>
      <c r="Q48" s="20">
        <v>-3.9088780497956296E-3</v>
      </c>
      <c r="R48" s="57">
        <v>1.1552393727652301E-2</v>
      </c>
      <c r="S48" s="18"/>
      <c r="T48" s="14">
        <f t="shared" si="0"/>
        <v>1.690605948883056</v>
      </c>
      <c r="U48" s="150"/>
      <c r="V48" s="229">
        <f t="shared" si="1"/>
        <v>45</v>
      </c>
      <c r="W48" s="131" t="s">
        <v>81</v>
      </c>
      <c r="X48" s="130" t="s">
        <v>176</v>
      </c>
    </row>
    <row r="49" spans="1:24" s="14" customFormat="1" ht="12.75" customHeight="1">
      <c r="A49" s="23" t="s">
        <v>82</v>
      </c>
      <c r="B49" s="38">
        <v>1</v>
      </c>
      <c r="C49" s="22"/>
      <c r="D49" s="34"/>
      <c r="E49" s="20">
        <v>-4.2247598467583098E-5</v>
      </c>
      <c r="F49" s="20">
        <v>1.22043109043321E-7</v>
      </c>
      <c r="G49" s="20">
        <v>-5.3351094268289198E-7</v>
      </c>
      <c r="H49" s="20">
        <v>-3.0415249670876502E-7</v>
      </c>
      <c r="I49" s="20">
        <v>1.66971710066649E-7</v>
      </c>
      <c r="J49" s="20">
        <v>-4.47298767217759E-7</v>
      </c>
      <c r="K49" s="20">
        <v>-2.3813952070611199E-7</v>
      </c>
      <c r="L49" s="20">
        <v>2.4802013791242398E-7</v>
      </c>
      <c r="M49" s="20">
        <v>0</v>
      </c>
      <c r="N49" s="20">
        <v>-5.6550482757333602E-7</v>
      </c>
      <c r="O49" s="20">
        <v>2.7934487667063301E-6</v>
      </c>
      <c r="P49" s="20">
        <v>-7.8202696473661603E-7</v>
      </c>
      <c r="Q49" s="20">
        <v>1.3691101906431099E-7</v>
      </c>
      <c r="R49" s="57">
        <v>2.7175921698560299E-7</v>
      </c>
      <c r="S49" s="18"/>
      <c r="T49" s="14">
        <f t="shared" si="0"/>
        <v>4.2256334360957779E-3</v>
      </c>
      <c r="U49" s="150"/>
      <c r="V49" s="229">
        <f t="shared" si="1"/>
        <v>46</v>
      </c>
      <c r="W49" s="131" t="s">
        <v>82</v>
      </c>
      <c r="X49" s="130" t="s">
        <v>177</v>
      </c>
    </row>
    <row r="50" spans="1:24" s="14" customFormat="1" ht="12.75" customHeight="1">
      <c r="A50" s="23" t="s">
        <v>83</v>
      </c>
      <c r="B50" s="38">
        <v>1</v>
      </c>
      <c r="C50" s="22"/>
      <c r="D50" s="34"/>
      <c r="E50" s="20">
        <v>1.2113819714040901E-2</v>
      </c>
      <c r="F50" s="20">
        <v>4.8146006517590196E-3</v>
      </c>
      <c r="G50" s="20">
        <v>3.1009790032500398E-3</v>
      </c>
      <c r="H50" s="20">
        <v>1.20091571800489E-3</v>
      </c>
      <c r="I50" s="20">
        <v>-1.2920270924957301E-3</v>
      </c>
      <c r="J50" s="20">
        <v>7.9486780129664706E-3</v>
      </c>
      <c r="K50" s="20">
        <v>2.6014361241935699E-3</v>
      </c>
      <c r="L50" s="20">
        <v>-2.2793050674151799E-3</v>
      </c>
      <c r="M50" s="20">
        <v>-4.9193450322532195E-4</v>
      </c>
      <c r="N50" s="20">
        <v>3.1405310599285198E-3</v>
      </c>
      <c r="O50" s="20">
        <v>5.66986296178385E-3</v>
      </c>
      <c r="P50" s="20">
        <v>7.4591966259334799E-3</v>
      </c>
      <c r="Q50" s="20">
        <v>7.5841859010675498E-3</v>
      </c>
      <c r="R50" s="57">
        <v>4.5796863246413801E-3</v>
      </c>
      <c r="S50" s="18"/>
      <c r="T50" s="14">
        <f t="shared" si="0"/>
        <v>1.6063585965038443</v>
      </c>
      <c r="U50" s="150"/>
      <c r="V50" s="229">
        <f t="shared" si="1"/>
        <v>47</v>
      </c>
      <c r="W50" s="131" t="s">
        <v>83</v>
      </c>
      <c r="X50" s="130" t="s">
        <v>157</v>
      </c>
    </row>
    <row r="51" spans="1:24" s="14" customFormat="1" ht="12.75" customHeight="1">
      <c r="A51" s="23" t="s">
        <v>84</v>
      </c>
      <c r="B51" s="38">
        <v>1</v>
      </c>
      <c r="C51" s="22"/>
      <c r="D51" s="34"/>
      <c r="E51" s="20">
        <v>1.46540151190197E-2</v>
      </c>
      <c r="F51" s="20">
        <v>7.8574404679816207E-3</v>
      </c>
      <c r="G51" s="20">
        <v>3.0951103828805301E-3</v>
      </c>
      <c r="H51" s="20">
        <v>7.7875205257312398E-4</v>
      </c>
      <c r="I51" s="20">
        <v>-4.3983687865756698E-3</v>
      </c>
      <c r="J51" s="20">
        <v>1.29628077337241E-2</v>
      </c>
      <c r="K51" s="20">
        <v>4.0218192954451703E-3</v>
      </c>
      <c r="L51" s="20">
        <v>-3.7085624488251701E-3</v>
      </c>
      <c r="M51" s="20">
        <v>-1.57111581967587E-3</v>
      </c>
      <c r="N51" s="20">
        <v>3.22111549785772E-3</v>
      </c>
      <c r="O51" s="20">
        <v>5.5712542203191096E-3</v>
      </c>
      <c r="P51" s="20">
        <v>6.8019588211412699E-3</v>
      </c>
      <c r="Q51" s="20">
        <v>6.6744806348947297E-3</v>
      </c>
      <c r="R51" s="57">
        <v>8.3287858957690995E-3</v>
      </c>
      <c r="S51" s="18"/>
      <c r="T51" s="14">
        <f t="shared" si="0"/>
        <v>2.2504279503753111</v>
      </c>
      <c r="U51" s="150"/>
      <c r="V51" s="229">
        <f t="shared" si="1"/>
        <v>48</v>
      </c>
      <c r="W51" s="131" t="s">
        <v>84</v>
      </c>
      <c r="X51" s="229"/>
    </row>
    <row r="52" spans="1:24" s="14" customFormat="1" ht="12.75" customHeight="1" thickBot="1">
      <c r="A52" s="23" t="s">
        <v>25</v>
      </c>
      <c r="B52" s="38">
        <v>1</v>
      </c>
      <c r="C52" s="22"/>
      <c r="D52" s="34"/>
      <c r="E52" s="20">
        <v>-9.1614526166953995E-5</v>
      </c>
      <c r="F52" s="20">
        <v>1.1960224686245399E-5</v>
      </c>
      <c r="G52" s="20">
        <v>1.6469482800620799E-3</v>
      </c>
      <c r="H52" s="20">
        <v>1.49643028380712E-5</v>
      </c>
      <c r="I52" s="20">
        <v>7.3467552429325598E-5</v>
      </c>
      <c r="J52" s="20">
        <v>-1.2962718273970599E-4</v>
      </c>
      <c r="K52" s="20">
        <v>3.5720928105916801E-6</v>
      </c>
      <c r="L52" s="20">
        <v>-9.6727853785845494E-6</v>
      </c>
      <c r="M52" s="20">
        <v>4.3428592862860501E-5</v>
      </c>
      <c r="N52" s="20">
        <v>-2.7641875971784698E-3</v>
      </c>
      <c r="O52" s="20">
        <v>-3.70876881259711E-4</v>
      </c>
      <c r="P52" s="20">
        <v>-1.8321774602400701E-5</v>
      </c>
      <c r="Q52" s="20">
        <v>3.5501027243376002E-4</v>
      </c>
      <c r="R52" s="57">
        <v>-4.4450749258278502E-4</v>
      </c>
      <c r="S52" s="18"/>
      <c r="T52" s="14">
        <f t="shared" si="0"/>
        <v>0.16569224149021819</v>
      </c>
      <c r="U52" s="150"/>
      <c r="V52" s="229">
        <f t="shared" si="1"/>
        <v>49</v>
      </c>
      <c r="W52" s="131" t="s">
        <v>25</v>
      </c>
      <c r="X52" s="130" t="s">
        <v>148</v>
      </c>
    </row>
    <row r="53" spans="1:24" s="14" customFormat="1" ht="12.75" customHeight="1">
      <c r="A53" s="24" t="s">
        <v>26</v>
      </c>
      <c r="B53" s="51">
        <v>1</v>
      </c>
      <c r="C53" s="44"/>
      <c r="D53" s="52"/>
      <c r="E53" s="53">
        <v>4.2095844344484396E-3</v>
      </c>
      <c r="F53" s="53">
        <v>3.1323584367058798E-3</v>
      </c>
      <c r="G53" s="53">
        <v>-4.1016321273460701E-4</v>
      </c>
      <c r="H53" s="53">
        <v>-8.06247438275596E-4</v>
      </c>
      <c r="I53" s="53">
        <v>1.4366245934134499E-3</v>
      </c>
      <c r="J53" s="53">
        <v>-8.1891458302227396E-3</v>
      </c>
      <c r="K53" s="53">
        <v>-2.4907607819454002E-3</v>
      </c>
      <c r="L53" s="53">
        <v>-1.50440748319746E-3</v>
      </c>
      <c r="M53" s="53">
        <v>-2.7041024724166899E-4</v>
      </c>
      <c r="N53" s="53">
        <v>-2.8685232378657501E-4</v>
      </c>
      <c r="O53" s="53">
        <v>-7.7089874465205801E-4</v>
      </c>
      <c r="P53" s="53">
        <v>-1.7155437243564901E-3</v>
      </c>
      <c r="Q53" s="53">
        <v>-2.0199167197653199E-3</v>
      </c>
      <c r="R53" s="56">
        <v>3.9904217558109304E-3</v>
      </c>
      <c r="S53" s="18"/>
      <c r="T53" s="14">
        <f t="shared" si="0"/>
        <v>1.0296445589658876</v>
      </c>
      <c r="U53" s="150"/>
      <c r="V53" s="229">
        <f t="shared" si="1"/>
        <v>50</v>
      </c>
      <c r="W53" s="131" t="s">
        <v>26</v>
      </c>
      <c r="X53" s="130" t="s">
        <v>166</v>
      </c>
    </row>
    <row r="54" spans="1:24" s="14" customFormat="1" ht="12.75" customHeight="1">
      <c r="A54" s="23" t="s">
        <v>27</v>
      </c>
      <c r="B54" s="38">
        <v>1</v>
      </c>
      <c r="C54" s="22"/>
      <c r="D54" s="34"/>
      <c r="E54" s="20">
        <v>-8.6275029243113095E-5</v>
      </c>
      <c r="F54" s="20">
        <v>-3.64237658939792E-4</v>
      </c>
      <c r="G54" s="20">
        <v>-3.2297685448136899E-3</v>
      </c>
      <c r="H54" s="20">
        <v>2.7860368698522899E-5</v>
      </c>
      <c r="I54" s="20">
        <v>2.60475867703972E-5</v>
      </c>
      <c r="J54" s="20">
        <v>1.3240043509645601E-4</v>
      </c>
      <c r="K54" s="20">
        <v>-2.6552556558731501E-5</v>
      </c>
      <c r="L54" s="20">
        <v>1.5335911860918201E-4</v>
      </c>
      <c r="M54" s="20">
        <v>-1.4988629395146499E-5</v>
      </c>
      <c r="N54" s="20">
        <v>7.4831133189676201E-3</v>
      </c>
      <c r="O54" s="20">
        <v>9.2975286451875904E-4</v>
      </c>
      <c r="P54" s="20">
        <v>1.3897736344747801E-4</v>
      </c>
      <c r="Q54" s="20">
        <v>-6.6388153144284704E-4</v>
      </c>
      <c r="R54" s="57">
        <v>5.1117908714991896E-4</v>
      </c>
      <c r="S54" s="18"/>
      <c r="T54" s="14">
        <f t="shared" si="0"/>
        <v>0.32580593264387658</v>
      </c>
      <c r="U54" s="150"/>
      <c r="V54" s="229">
        <f t="shared" si="1"/>
        <v>51</v>
      </c>
      <c r="W54" s="131" t="s">
        <v>27</v>
      </c>
      <c r="X54" s="130" t="s">
        <v>148</v>
      </c>
    </row>
    <row r="55" spans="1:24" s="14" customFormat="1" ht="12.75" customHeight="1">
      <c r="A55" s="23" t="s">
        <v>28</v>
      </c>
      <c r="B55" s="38">
        <v>1</v>
      </c>
      <c r="C55" s="22"/>
      <c r="D55" s="34"/>
      <c r="E55" s="20">
        <v>-6.7924021394333701E-4</v>
      </c>
      <c r="F55" s="20">
        <v>-4.9860712199648798E-4</v>
      </c>
      <c r="G55" s="20">
        <v>-2.23007574041448E-4</v>
      </c>
      <c r="H55" s="20">
        <v>-2.23430424082259E-4</v>
      </c>
      <c r="I55" s="20">
        <v>-2.1664579381147701E-4</v>
      </c>
      <c r="J55" s="20">
        <v>1.2823161058598701E-3</v>
      </c>
      <c r="K55" s="20">
        <v>3.9816927862061901E-4</v>
      </c>
      <c r="L55" s="20">
        <v>2.3231219584463701E-4</v>
      </c>
      <c r="M55" s="20">
        <v>5.1191934241885098E-5</v>
      </c>
      <c r="N55" s="20">
        <v>-2.6614070947670102E-4</v>
      </c>
      <c r="O55" s="20">
        <v>1.1937337729725E-4</v>
      </c>
      <c r="P55" s="20">
        <v>2.4924316547534102E-4</v>
      </c>
      <c r="Q55" s="20">
        <v>2.4513917963464999E-4</v>
      </c>
      <c r="R55" s="57">
        <v>-5.7033201004711895E-4</v>
      </c>
      <c r="S55" s="18"/>
      <c r="T55" s="14">
        <f t="shared" si="0"/>
        <v>0.1648037682536268</v>
      </c>
      <c r="U55" s="150"/>
      <c r="V55" s="229">
        <f t="shared" si="1"/>
        <v>52</v>
      </c>
      <c r="W55" s="131" t="s">
        <v>28</v>
      </c>
      <c r="X55" s="130" t="s">
        <v>178</v>
      </c>
    </row>
    <row r="56" spans="1:24" s="14" customFormat="1" ht="12.75" customHeight="1">
      <c r="A56" s="23" t="s">
        <v>29</v>
      </c>
      <c r="B56" s="38">
        <v>1</v>
      </c>
      <c r="C56" s="22"/>
      <c r="D56" s="34"/>
      <c r="E56" s="20">
        <v>-2.5292353849772599E-6</v>
      </c>
      <c r="F56" s="20">
        <v>-1.7366734416864599E-4</v>
      </c>
      <c r="G56" s="20">
        <v>-2.1411928173635099E-3</v>
      </c>
      <c r="H56" s="20">
        <v>7.1171684229851199E-6</v>
      </c>
      <c r="I56" s="20">
        <v>-2.6548501900597201E-5</v>
      </c>
      <c r="J56" s="20">
        <v>1.35531526466981E-4</v>
      </c>
      <c r="K56" s="20">
        <v>-6.78697634012419E-6</v>
      </c>
      <c r="L56" s="20">
        <v>6.8784251581045693E-5</v>
      </c>
      <c r="M56" s="20">
        <v>-2.6748938612876901E-5</v>
      </c>
      <c r="N56" s="20">
        <v>-1.9870425878858099E-4</v>
      </c>
      <c r="O56" s="20">
        <v>1.8064302024700901E-4</v>
      </c>
      <c r="P56" s="20">
        <v>6.75894733808075E-5</v>
      </c>
      <c r="Q56" s="20">
        <v>-4.6844105172854202E-4</v>
      </c>
      <c r="R56" s="57">
        <v>3.25658128354414E-4</v>
      </c>
      <c r="S56" s="18"/>
      <c r="T56" s="14">
        <f t="shared" si="0"/>
        <v>0.21539476637856425</v>
      </c>
      <c r="U56" s="150"/>
      <c r="V56" s="229">
        <f t="shared" si="1"/>
        <v>53</v>
      </c>
      <c r="W56" s="131" t="s">
        <v>29</v>
      </c>
      <c r="X56" s="130" t="s">
        <v>148</v>
      </c>
    </row>
    <row r="57" spans="1:24" s="14" customFormat="1" ht="12.75" customHeight="1">
      <c r="A57" s="23" t="s">
        <v>30</v>
      </c>
      <c r="B57" s="38">
        <v>1</v>
      </c>
      <c r="C57" s="22"/>
      <c r="D57" s="34"/>
      <c r="E57" s="20">
        <v>1.84446832334082E-4</v>
      </c>
      <c r="F57" s="20">
        <v>3.2640429513636199E-4</v>
      </c>
      <c r="G57" s="20">
        <v>-3.4571509085851401E-5</v>
      </c>
      <c r="H57" s="20">
        <v>-1.5177209585767401E-4</v>
      </c>
      <c r="I57" s="20">
        <v>1.6889188473241499E-4</v>
      </c>
      <c r="J57" s="20">
        <v>-4.0578944161995099E-4</v>
      </c>
      <c r="K57" s="20">
        <v>1.38478131290604E-4</v>
      </c>
      <c r="L57" s="20">
        <v>-1.59063581781168E-4</v>
      </c>
      <c r="M57" s="20">
        <v>2.06919950419151E-4</v>
      </c>
      <c r="N57" s="20">
        <v>-2.42460194822068E-5</v>
      </c>
      <c r="O57" s="20">
        <v>-6.8998184537646495E-5</v>
      </c>
      <c r="P57" s="20">
        <v>-1.7226936851769399E-4</v>
      </c>
      <c r="Q57" s="20">
        <v>-1.8996403895173199E-4</v>
      </c>
      <c r="R57" s="57">
        <v>4.1678805245025298E-4</v>
      </c>
      <c r="S57" s="18"/>
      <c r="T57" s="14">
        <f t="shared" si="0"/>
        <v>6.6728792705847847E-2</v>
      </c>
      <c r="U57" s="150"/>
      <c r="V57" s="229">
        <f t="shared" si="1"/>
        <v>54</v>
      </c>
      <c r="W57" s="131" t="s">
        <v>30</v>
      </c>
      <c r="X57" s="130" t="s">
        <v>147</v>
      </c>
    </row>
    <row r="58" spans="1:24" s="14" customFormat="1" ht="12.75" customHeight="1">
      <c r="A58" s="23" t="s">
        <v>31</v>
      </c>
      <c r="B58" s="38">
        <v>1</v>
      </c>
      <c r="C58" s="22"/>
      <c r="D58" s="34"/>
      <c r="E58" s="20">
        <v>1.76952801563779E-4</v>
      </c>
      <c r="F58" s="20">
        <v>2.1473485036172299E-4</v>
      </c>
      <c r="G58" s="20">
        <v>2.98766127902419E-6</v>
      </c>
      <c r="H58" s="20">
        <v>-2.9989436175484301E-5</v>
      </c>
      <c r="I58" s="20">
        <v>-2.42342739990734E-3</v>
      </c>
      <c r="J58" s="20">
        <v>3.8476639956071598E-4</v>
      </c>
      <c r="K58" s="20">
        <v>1.0120929630009701E-4</v>
      </c>
      <c r="L58" s="20">
        <v>-1.00778849371748E-4</v>
      </c>
      <c r="M58" s="20">
        <v>1.7525166677402101E-5</v>
      </c>
      <c r="N58" s="20">
        <v>9.1187653446200496E-6</v>
      </c>
      <c r="O58" s="20">
        <v>4.9350928211811902E-6</v>
      </c>
      <c r="P58" s="20">
        <v>-3.4409186448411101E-5</v>
      </c>
      <c r="Q58" s="20">
        <v>-5.2163098263502697E-5</v>
      </c>
      <c r="R58" s="57">
        <v>2.6369702688169698E-4</v>
      </c>
      <c r="S58" s="18"/>
      <c r="T58" s="14">
        <f t="shared" si="0"/>
        <v>0.24738803562017858</v>
      </c>
      <c r="U58" s="150"/>
      <c r="V58" s="229">
        <f t="shared" si="1"/>
        <v>55</v>
      </c>
      <c r="W58" s="131" t="s">
        <v>31</v>
      </c>
      <c r="X58" s="130" t="s">
        <v>152</v>
      </c>
    </row>
    <row r="59" spans="1:24" s="14" customFormat="1" ht="12.75" customHeight="1">
      <c r="A59" s="222" t="s">
        <v>32</v>
      </c>
      <c r="B59" s="38">
        <v>1</v>
      </c>
      <c r="C59" s="22"/>
      <c r="D59" s="34"/>
      <c r="E59" s="20">
        <v>9.2178451982419304E-3</v>
      </c>
      <c r="F59" s="20">
        <v>1.58324694715264E-2</v>
      </c>
      <c r="G59" s="20">
        <v>-1.68482755699257E-3</v>
      </c>
      <c r="H59" s="20">
        <v>5.2601957695794198E-3</v>
      </c>
      <c r="I59" s="20">
        <v>8.1923834685651096E-3</v>
      </c>
      <c r="J59" s="20">
        <v>-1.8427188393563099E-2</v>
      </c>
      <c r="K59" s="20">
        <v>7.5993893150130996E-3</v>
      </c>
      <c r="L59" s="20">
        <v>-7.4235734212360696E-3</v>
      </c>
      <c r="M59" s="20">
        <v>1.0625938999199201E-2</v>
      </c>
      <c r="N59" s="20">
        <v>-1.1023809732507699E-3</v>
      </c>
      <c r="O59" s="20">
        <v>-3.4083799552172898E-3</v>
      </c>
      <c r="P59" s="20">
        <v>-7.6310191218999001E-3</v>
      </c>
      <c r="Q59" s="20">
        <v>-9.2248590980247291E-3</v>
      </c>
      <c r="R59" s="57">
        <v>2.0122139462482001E-2</v>
      </c>
      <c r="S59" s="18"/>
      <c r="T59" s="14">
        <f t="shared" si="0"/>
        <v>3.1600494015139633</v>
      </c>
      <c r="U59" s="150">
        <v>1</v>
      </c>
      <c r="V59" s="129">
        <f t="shared" si="1"/>
        <v>56</v>
      </c>
      <c r="W59" s="128" t="s">
        <v>32</v>
      </c>
      <c r="X59" s="229"/>
    </row>
    <row r="60" spans="1:24" s="14" customFormat="1" ht="12.75" customHeight="1">
      <c r="A60" s="23" t="s">
        <v>33</v>
      </c>
      <c r="B60" s="38">
        <v>1</v>
      </c>
      <c r="C60" s="22"/>
      <c r="D60" s="34"/>
      <c r="E60" s="20">
        <v>1.3739649689658099E-2</v>
      </c>
      <c r="F60" s="20">
        <v>9.8365525457826397E-3</v>
      </c>
      <c r="G60" s="20">
        <v>-9.9659844093164196E-5</v>
      </c>
      <c r="H60" s="20">
        <v>1.09762553012259E-3</v>
      </c>
      <c r="I60" s="20">
        <v>3.2903445185733901E-3</v>
      </c>
      <c r="J60" s="20">
        <v>-5.5977651522233704E-3</v>
      </c>
      <c r="K60" s="20">
        <v>-1.30047992257607E-3</v>
      </c>
      <c r="L60" s="20">
        <v>-4.6350830106866902E-3</v>
      </c>
      <c r="M60" s="20">
        <v>-4.7440933654791998E-4</v>
      </c>
      <c r="N60" s="20">
        <v>-3.4191835637152802E-4</v>
      </c>
      <c r="O60" s="20">
        <v>-8.3691725050521798E-4</v>
      </c>
      <c r="P60" s="20">
        <v>-3.3813728773833102E-3</v>
      </c>
      <c r="Q60" s="20">
        <v>-3.8557565743986698E-3</v>
      </c>
      <c r="R60" s="57">
        <v>1.2073265560207999E-2</v>
      </c>
      <c r="S60" s="18"/>
      <c r="T60" s="14">
        <f t="shared" si="0"/>
        <v>1.8769978742217648</v>
      </c>
      <c r="U60" s="150"/>
      <c r="V60" s="229">
        <f t="shared" si="1"/>
        <v>57</v>
      </c>
      <c r="W60" s="131" t="s">
        <v>33</v>
      </c>
      <c r="X60" s="130" t="s">
        <v>172</v>
      </c>
    </row>
    <row r="61" spans="1:24" s="14" customFormat="1" ht="12.75" customHeight="1">
      <c r="A61" s="58" t="s">
        <v>34</v>
      </c>
      <c r="B61" s="38">
        <v>1</v>
      </c>
      <c r="C61" s="22"/>
      <c r="D61" s="34"/>
      <c r="E61" s="20">
        <v>3.4097933680263197E-2</v>
      </c>
      <c r="F61" s="20">
        <v>2.67422080966815E-2</v>
      </c>
      <c r="G61" s="20">
        <v>-3.2009589539088099E-3</v>
      </c>
      <c r="H61" s="20">
        <v>8.3439371032102503E-3</v>
      </c>
      <c r="I61" s="20">
        <v>1.05728156531302E-2</v>
      </c>
      <c r="J61" s="20">
        <v>-6.3970969952168499E-2</v>
      </c>
      <c r="K61" s="20">
        <v>-1.7723652898312701E-2</v>
      </c>
      <c r="L61" s="20">
        <v>-1.24256435626538E-2</v>
      </c>
      <c r="M61" s="20">
        <v>-2.6372301258845003E-4</v>
      </c>
      <c r="N61" s="20">
        <v>-9.2382282394449199E-4</v>
      </c>
      <c r="O61" s="20">
        <v>-5.7782487739320501E-3</v>
      </c>
      <c r="P61" s="20">
        <v>-1.3610397294275999E-2</v>
      </c>
      <c r="Q61" s="20">
        <v>-1.57227245183264E-2</v>
      </c>
      <c r="R61" s="57">
        <v>3.3381815177643499E-2</v>
      </c>
      <c r="S61" s="18"/>
      <c r="T61" s="14">
        <f t="shared" si="0"/>
        <v>8.1426934530574453</v>
      </c>
      <c r="U61" s="150"/>
      <c r="V61" s="229">
        <f t="shared" si="1"/>
        <v>58</v>
      </c>
      <c r="W61" s="126" t="s">
        <v>34</v>
      </c>
      <c r="X61" s="130" t="s">
        <v>165</v>
      </c>
    </row>
    <row r="62" spans="1:24" s="14" customFormat="1" ht="12.75" customHeight="1">
      <c r="A62" s="58" t="s">
        <v>35</v>
      </c>
      <c r="B62" s="38">
        <v>1</v>
      </c>
      <c r="C62" s="22"/>
      <c r="D62" s="34"/>
      <c r="E62" s="20">
        <v>7.9446187379059202E-2</v>
      </c>
      <c r="F62" s="20">
        <v>6.2022796188251898E-2</v>
      </c>
      <c r="G62" s="20">
        <v>-3.3708288380590399E-3</v>
      </c>
      <c r="H62" s="20">
        <v>5.2344036378585103E-3</v>
      </c>
      <c r="I62" s="20">
        <v>2.63715118879265E-2</v>
      </c>
      <c r="J62" s="20">
        <v>-2.8030335086714601E-2</v>
      </c>
      <c r="K62" s="20">
        <v>-6.47054845198595E-3</v>
      </c>
      <c r="L62" s="20">
        <v>-2.80662068263078E-2</v>
      </c>
      <c r="M62" s="20">
        <v>7.8002364667665105E-4</v>
      </c>
      <c r="N62" s="20">
        <v>1.01126400790801E-3</v>
      </c>
      <c r="O62" s="20">
        <v>-6.7378915402545696E-3</v>
      </c>
      <c r="P62" s="20">
        <v>-2.2203533019077602E-2</v>
      </c>
      <c r="Q62" s="20">
        <v>-2.44630555198826E-2</v>
      </c>
      <c r="R62" s="57">
        <v>7.6643346102392998E-2</v>
      </c>
      <c r="S62" s="18"/>
      <c r="T62" s="14">
        <f t="shared" si="0"/>
        <v>11.184198732444827</v>
      </c>
      <c r="U62" s="150"/>
      <c r="V62" s="229">
        <f t="shared" si="1"/>
        <v>59</v>
      </c>
      <c r="W62" s="126" t="s">
        <v>35</v>
      </c>
      <c r="X62" s="130" t="s">
        <v>173</v>
      </c>
    </row>
    <row r="63" spans="1:24" s="14" customFormat="1" ht="12.75" customHeight="1">
      <c r="A63" s="58" t="s">
        <v>36</v>
      </c>
      <c r="B63" s="38">
        <v>1</v>
      </c>
      <c r="C63" s="22"/>
      <c r="D63" s="34"/>
      <c r="E63" s="20">
        <v>-4.9029696314707304E-4</v>
      </c>
      <c r="F63" s="20">
        <v>2.2864776479266199E-4</v>
      </c>
      <c r="G63" s="20">
        <v>-2.5971312689803099E-4</v>
      </c>
      <c r="H63" s="20">
        <v>8.4797716082403898E-5</v>
      </c>
      <c r="I63" s="20">
        <v>1.03105030966155E-4</v>
      </c>
      <c r="J63" s="20">
        <v>-7.8178878534320003E-4</v>
      </c>
      <c r="K63" s="20">
        <v>1.62649292642274E-4</v>
      </c>
      <c r="L63" s="20">
        <v>-7.1777027911855602E-4</v>
      </c>
      <c r="M63" s="20">
        <v>1.7432928958047299E-4</v>
      </c>
      <c r="N63" s="20">
        <v>-1.0256136929076901E-3</v>
      </c>
      <c r="O63" s="20">
        <v>1.69823062023967E-3</v>
      </c>
      <c r="P63" s="20">
        <v>-7.1667185411219904E-4</v>
      </c>
      <c r="Q63" s="20">
        <v>-7.1173193260582401E-4</v>
      </c>
      <c r="R63" s="57">
        <v>8.6845187108032604E-4</v>
      </c>
      <c r="S63" s="18"/>
      <c r="T63" s="14">
        <f t="shared" si="0"/>
        <v>0.1249470484981294</v>
      </c>
      <c r="U63" s="150"/>
      <c r="V63" s="229">
        <f t="shared" si="1"/>
        <v>60</v>
      </c>
      <c r="W63" s="126" t="s">
        <v>36</v>
      </c>
      <c r="X63" s="130" t="s">
        <v>153</v>
      </c>
    </row>
    <row r="64" spans="1:24" s="14" customFormat="1" ht="12.75" customHeight="1">
      <c r="A64" s="135" t="s">
        <v>37</v>
      </c>
      <c r="B64" s="38">
        <v>1</v>
      </c>
      <c r="C64" s="22"/>
      <c r="D64" s="34"/>
      <c r="E64" s="20">
        <v>5.8168479488322503E-2</v>
      </c>
      <c r="F64" s="20">
        <v>4.7031142716479402E-2</v>
      </c>
      <c r="G64" s="20">
        <v>6.1411377590342301E-3</v>
      </c>
      <c r="H64" s="20">
        <v>-3.5408217056847602E-3</v>
      </c>
      <c r="I64" s="20">
        <v>1.78641362883207E-2</v>
      </c>
      <c r="J64" s="20">
        <v>-1.9922687091879E-3</v>
      </c>
      <c r="K64" s="20">
        <v>5.4186266541468697E-3</v>
      </c>
      <c r="L64" s="20">
        <v>-2.1522608854384999E-2</v>
      </c>
      <c r="M64" s="20">
        <v>5.2374882992609704E-3</v>
      </c>
      <c r="N64" s="20">
        <v>7.1633203389749002E-3</v>
      </c>
      <c r="O64" s="20">
        <v>1.1679316178640301E-2</v>
      </c>
      <c r="P64" s="20">
        <v>-1.8464326946258401E-2</v>
      </c>
      <c r="Q64" s="20">
        <v>1.1563504670171699E-3</v>
      </c>
      <c r="R64" s="57">
        <v>5.5921977566457802E-2</v>
      </c>
      <c r="S64" s="18"/>
      <c r="T64" s="14">
        <f t="shared" si="0"/>
        <v>8.0553481444728483</v>
      </c>
      <c r="U64" s="150">
        <v>1</v>
      </c>
      <c r="V64" s="129">
        <f t="shared" si="1"/>
        <v>61</v>
      </c>
      <c r="W64" s="125" t="s">
        <v>37</v>
      </c>
      <c r="X64" s="229"/>
    </row>
    <row r="65" spans="1:24" s="14" customFormat="1" ht="12.75" customHeight="1">
      <c r="A65" s="135" t="s">
        <v>38</v>
      </c>
      <c r="B65" s="38">
        <v>1</v>
      </c>
      <c r="C65" s="22"/>
      <c r="D65" s="34"/>
      <c r="E65" s="20">
        <v>9.88181632449078E-4</v>
      </c>
      <c r="F65" s="20">
        <v>1.7466199550734899E-3</v>
      </c>
      <c r="G65" s="20">
        <v>-2.1159043986803501E-4</v>
      </c>
      <c r="H65" s="20">
        <v>2.5561584128398099E-3</v>
      </c>
      <c r="I65" s="20">
        <v>9.1968017904710405E-4</v>
      </c>
      <c r="J65" s="20">
        <v>-1.82175841912449E-3</v>
      </c>
      <c r="K65" s="20">
        <v>1.0818678425678599E-3</v>
      </c>
      <c r="L65" s="20">
        <v>-8.30867462006621E-4</v>
      </c>
      <c r="M65" s="20">
        <v>1.32430305563579E-3</v>
      </c>
      <c r="N65" s="20">
        <v>-1.43850290513967E-4</v>
      </c>
      <c r="O65" s="20">
        <v>-4.1678255599258502E-4</v>
      </c>
      <c r="P65" s="20">
        <v>-7.9040582507308005E-4</v>
      </c>
      <c r="Q65" s="20">
        <v>-1.0937821313047799E-3</v>
      </c>
      <c r="R65" s="57">
        <v>2.2481734157162301E-3</v>
      </c>
      <c r="S65" s="18"/>
      <c r="T65" s="14">
        <f t="shared" si="0"/>
        <v>0.42877818592716505</v>
      </c>
      <c r="U65" s="150">
        <v>1</v>
      </c>
      <c r="V65" s="129">
        <f t="shared" si="1"/>
        <v>62</v>
      </c>
      <c r="W65" s="125" t="s">
        <v>38</v>
      </c>
      <c r="X65" s="229"/>
    </row>
    <row r="66" spans="1:24" s="14" customFormat="1" ht="12.75" customHeight="1">
      <c r="A66" s="58" t="s">
        <v>39</v>
      </c>
      <c r="B66" s="38">
        <v>1</v>
      </c>
      <c r="C66" s="22"/>
      <c r="D66" s="34"/>
      <c r="E66" s="20">
        <v>1.1764691555529399E-2</v>
      </c>
      <c r="F66" s="20">
        <v>3.7426350034770002E-3</v>
      </c>
      <c r="G66" s="20">
        <v>3.2712756961544198E-3</v>
      </c>
      <c r="H66" s="20">
        <v>1.4735580160546199E-3</v>
      </c>
      <c r="I66" s="20">
        <v>1.8626529116485E-3</v>
      </c>
      <c r="J66" s="20">
        <v>6.00265999630889E-3</v>
      </c>
      <c r="K66" s="20">
        <v>2.1309915010386399E-3</v>
      </c>
      <c r="L66" s="20">
        <v>8.1614333315255406E-3</v>
      </c>
      <c r="M66" s="20">
        <v>2.63730699065063E-3</v>
      </c>
      <c r="N66" s="20">
        <v>3.2819072668218599E-3</v>
      </c>
      <c r="O66" s="20">
        <v>6.0424159123035797E-3</v>
      </c>
      <c r="P66" s="20">
        <v>8.1738575535649297E-3</v>
      </c>
      <c r="Q66" s="20">
        <v>8.3875797609369307E-3</v>
      </c>
      <c r="R66" s="57">
        <v>3.1962507373733402E-3</v>
      </c>
      <c r="S66" s="18"/>
      <c r="T66" s="14">
        <f t="shared" si="0"/>
        <v>1.6819477160091949</v>
      </c>
      <c r="U66" s="150"/>
      <c r="V66" s="229">
        <f t="shared" si="1"/>
        <v>63</v>
      </c>
      <c r="W66" s="126" t="s">
        <v>39</v>
      </c>
      <c r="X66" s="130" t="s">
        <v>198</v>
      </c>
    </row>
    <row r="67" spans="1:24" s="14" customFormat="1" ht="12.75" customHeight="1">
      <c r="A67" s="58" t="s">
        <v>40</v>
      </c>
      <c r="B67" s="38">
        <v>1</v>
      </c>
      <c r="C67" s="22"/>
      <c r="D67" s="34"/>
      <c r="E67" s="20">
        <v>1.50858586421584E-2</v>
      </c>
      <c r="F67" s="20">
        <v>4.7916565472588702E-3</v>
      </c>
      <c r="G67" s="20">
        <v>4.1701349323865497E-3</v>
      </c>
      <c r="H67" s="20">
        <v>1.8858063100936899E-3</v>
      </c>
      <c r="I67" s="20">
        <v>2.3846064773168502E-3</v>
      </c>
      <c r="J67" s="20">
        <v>7.6938966351592399E-3</v>
      </c>
      <c r="K67" s="20">
        <v>2.7283644887299199E-3</v>
      </c>
      <c r="L67" s="20">
        <v>1.0462316150939101E-2</v>
      </c>
      <c r="M67" s="20">
        <v>3.3767460408111898E-3</v>
      </c>
      <c r="N67" s="20">
        <v>4.2000750424906102E-3</v>
      </c>
      <c r="O67" s="20">
        <v>7.8134624303954001E-3</v>
      </c>
      <c r="P67" s="20">
        <v>1.0477932427954599E-2</v>
      </c>
      <c r="Q67" s="20">
        <v>1.07499793948916E-2</v>
      </c>
      <c r="R67" s="57">
        <v>4.1108110889355497E-3</v>
      </c>
      <c r="S67" s="18"/>
      <c r="T67" s="14">
        <f t="shared" si="0"/>
        <v>2.155639658118786</v>
      </c>
      <c r="U67" s="150"/>
      <c r="V67" s="229">
        <f t="shared" si="1"/>
        <v>64</v>
      </c>
      <c r="W67" s="126" t="s">
        <v>40</v>
      </c>
      <c r="X67" s="130" t="s">
        <v>198</v>
      </c>
    </row>
    <row r="68" spans="1:24" s="14" customFormat="1" ht="12.75" customHeight="1">
      <c r="A68" s="58" t="s">
        <v>41</v>
      </c>
      <c r="B68" s="38">
        <v>1</v>
      </c>
      <c r="C68" s="22"/>
      <c r="D68" s="34"/>
      <c r="E68" s="20">
        <v>7.1189545302493204E-3</v>
      </c>
      <c r="F68" s="20">
        <v>9.9472456456849295E-3</v>
      </c>
      <c r="G68" s="20">
        <v>5.0588574607077098E-3</v>
      </c>
      <c r="H68" s="20">
        <v>5.1514916672556997E-3</v>
      </c>
      <c r="I68" s="20">
        <v>4.9243296732856198E-3</v>
      </c>
      <c r="J68" s="20">
        <v>-1.13703346626754E-4</v>
      </c>
      <c r="K68" s="20">
        <v>9.9881668472161095E-3</v>
      </c>
      <c r="L68" s="20">
        <v>1.17892238887705E-4</v>
      </c>
      <c r="M68" s="20">
        <v>9.4472178106116706E-3</v>
      </c>
      <c r="N68" s="20">
        <v>1.8230461878895399E-4</v>
      </c>
      <c r="O68" s="20">
        <v>7.3877408383493496E-4</v>
      </c>
      <c r="P68" s="20">
        <v>2.7985393523788902E-4</v>
      </c>
      <c r="Q68" s="20">
        <v>4.72959115357665E-4</v>
      </c>
      <c r="R68" s="57">
        <v>1.08345870491876E-2</v>
      </c>
      <c r="S68" s="18"/>
      <c r="T68" s="14">
        <f t="shared" si="0"/>
        <v>2.0372686760368861</v>
      </c>
      <c r="U68" s="150"/>
      <c r="V68" s="229">
        <f t="shared" si="1"/>
        <v>65</v>
      </c>
      <c r="W68" s="126" t="s">
        <v>41</v>
      </c>
      <c r="X68" s="130" t="s">
        <v>199</v>
      </c>
    </row>
    <row r="69" spans="1:24" s="14" customFormat="1" ht="12.75" customHeight="1">
      <c r="A69" s="135" t="s">
        <v>42</v>
      </c>
      <c r="B69" s="38">
        <v>1</v>
      </c>
      <c r="C69" s="22"/>
      <c r="D69" s="34"/>
      <c r="E69" s="20">
        <v>9.4202777044247402E-3</v>
      </c>
      <c r="F69" s="20">
        <v>-5.5120770199416002E-4</v>
      </c>
      <c r="G69" s="20">
        <v>1.6688222287120801E-4</v>
      </c>
      <c r="H69" s="20">
        <v>-3.64982996050519E-6</v>
      </c>
      <c r="I69" s="20">
        <v>-1.63632275865316E-4</v>
      </c>
      <c r="J69" s="20">
        <v>1.0393344695318401E-2</v>
      </c>
      <c r="K69" s="20">
        <v>-8.4301390329963695E-5</v>
      </c>
      <c r="L69" s="20">
        <v>1.01161627117926E-2</v>
      </c>
      <c r="M69" s="20">
        <v>-1.9323802204819599E-4</v>
      </c>
      <c r="N69" s="20">
        <v>1.02262358613189E-2</v>
      </c>
      <c r="O69" s="20">
        <v>8.5426456734646397E-3</v>
      </c>
      <c r="P69" s="20">
        <v>1.01333936909192E-2</v>
      </c>
      <c r="Q69" s="20">
        <v>1.00380420957572E-2</v>
      </c>
      <c r="R69" s="57">
        <v>-1.1003530695747E-3</v>
      </c>
      <c r="S69" s="18"/>
      <c r="T69" s="14">
        <f t="shared" ref="T69:T96" si="2">100*SQRT(E69^2+F69^2+G69^2+H69^2+I69^2+J69^2+K69^2+L69^2+M69^2)</f>
        <v>1.7306152377210726</v>
      </c>
      <c r="U69" s="150">
        <v>1</v>
      </c>
      <c r="V69" s="129">
        <f t="shared" si="1"/>
        <v>66</v>
      </c>
      <c r="W69" s="125" t="s">
        <v>42</v>
      </c>
      <c r="X69" s="229"/>
    </row>
    <row r="70" spans="1:24" s="14" customFormat="1" ht="12.75" customHeight="1">
      <c r="A70" s="58" t="s">
        <v>43</v>
      </c>
      <c r="B70" s="38">
        <v>1</v>
      </c>
      <c r="C70" s="22"/>
      <c r="D70" s="34"/>
      <c r="E70" s="20">
        <v>5.4514390084722799E-3</v>
      </c>
      <c r="F70" s="20">
        <v>6.5956367635827198E-3</v>
      </c>
      <c r="G70" s="20">
        <v>-5.5485138039020699E-5</v>
      </c>
      <c r="H70" s="20">
        <v>-9.2279867501439503E-4</v>
      </c>
      <c r="I70" s="20">
        <v>-6.3212149997031999E-3</v>
      </c>
      <c r="J70" s="20">
        <v>1.03697273204093E-2</v>
      </c>
      <c r="K70" s="20">
        <v>3.04044633061528E-3</v>
      </c>
      <c r="L70" s="20">
        <v>-3.1186878874901198E-3</v>
      </c>
      <c r="M70" s="20">
        <v>-2.0245410750705799E-3</v>
      </c>
      <c r="N70" s="20">
        <v>2.5186171258047399E-4</v>
      </c>
      <c r="O70" s="20">
        <v>-1.6257871822230799E-4</v>
      </c>
      <c r="P70" s="20">
        <v>-1.40887743604192E-3</v>
      </c>
      <c r="Q70" s="20">
        <v>-1.90532219680849E-3</v>
      </c>
      <c r="R70" s="57">
        <v>8.1313075314262302E-3</v>
      </c>
      <c r="S70" s="18"/>
      <c r="T70" s="14">
        <f t="shared" si="2"/>
        <v>1.564076551646568</v>
      </c>
      <c r="U70" s="150"/>
      <c r="V70" s="229">
        <f t="shared" ref="V70:V97" si="3">V69+1</f>
        <v>67</v>
      </c>
      <c r="W70" s="126" t="s">
        <v>43</v>
      </c>
      <c r="X70" s="130" t="s">
        <v>179</v>
      </c>
    </row>
    <row r="71" spans="1:24" s="14" customFormat="1" ht="12.75" customHeight="1">
      <c r="A71" s="58" t="s">
        <v>44</v>
      </c>
      <c r="B71" s="38">
        <v>1</v>
      </c>
      <c r="C71" s="22"/>
      <c r="D71" s="34"/>
      <c r="E71" s="20">
        <v>2.2081161664697698E-3</v>
      </c>
      <c r="F71" s="20">
        <v>3.3007779271856598E-3</v>
      </c>
      <c r="G71" s="20">
        <v>-2.2012661495096099E-4</v>
      </c>
      <c r="H71" s="20">
        <v>-6.6621562879087999E-4</v>
      </c>
      <c r="I71" s="20">
        <v>1.2093760960127399E-3</v>
      </c>
      <c r="J71" s="20">
        <v>-7.0220538867981604E-3</v>
      </c>
      <c r="K71" s="20">
        <v>-2.15051894173654E-3</v>
      </c>
      <c r="L71" s="20">
        <v>-1.5612040947794001E-3</v>
      </c>
      <c r="M71" s="20">
        <v>-3.1791267270936402E-4</v>
      </c>
      <c r="N71" s="20">
        <v>3.6687125688820201E-5</v>
      </c>
      <c r="O71" s="20">
        <v>-3.73763444985307E-4</v>
      </c>
      <c r="P71" s="20">
        <v>-2.2934616512968499E-3</v>
      </c>
      <c r="Q71" s="20">
        <v>-1.3837596696829901E-3</v>
      </c>
      <c r="R71" s="57">
        <v>4.0667860957838897E-3</v>
      </c>
      <c r="S71" s="18"/>
      <c r="T71" s="14">
        <f t="shared" si="2"/>
        <v>0.86138377429792123</v>
      </c>
      <c r="U71" s="150"/>
      <c r="V71" s="229">
        <f t="shared" si="3"/>
        <v>68</v>
      </c>
      <c r="W71" s="126" t="s">
        <v>44</v>
      </c>
      <c r="X71" s="130" t="s">
        <v>181</v>
      </c>
    </row>
    <row r="72" spans="1:24" s="14" customFormat="1" ht="12.75" customHeight="1">
      <c r="A72" s="58" t="s">
        <v>45</v>
      </c>
      <c r="B72" s="38">
        <v>1</v>
      </c>
      <c r="C72" s="22"/>
      <c r="D72" s="34"/>
      <c r="E72" s="20">
        <v>1.4819445848274099E-4</v>
      </c>
      <c r="F72" s="20">
        <v>1.59266257301534E-4</v>
      </c>
      <c r="G72" s="20">
        <v>-1.68055946945111E-3</v>
      </c>
      <c r="H72" s="20">
        <v>-5.0063500958262799E-5</v>
      </c>
      <c r="I72" s="20">
        <v>3.5398002534129599E-5</v>
      </c>
      <c r="J72" s="20">
        <v>-3.52024129800376E-4</v>
      </c>
      <c r="K72" s="20">
        <v>-1.4883720044132001E-4</v>
      </c>
      <c r="L72" s="20">
        <v>-7.7134262890763897E-5</v>
      </c>
      <c r="M72" s="20">
        <v>-5.5112037314461901E-5</v>
      </c>
      <c r="N72" s="20">
        <v>-1.64731556272113E-3</v>
      </c>
      <c r="O72" s="20">
        <v>8.9734885882496499E-4</v>
      </c>
      <c r="P72" s="20">
        <v>-8.5352657294110706E-5</v>
      </c>
      <c r="Q72" s="20">
        <v>-3.84719963570716E-5</v>
      </c>
      <c r="R72" s="57">
        <v>3.1556680276368198E-3</v>
      </c>
      <c r="S72" s="18"/>
      <c r="T72" s="14">
        <f t="shared" si="2"/>
        <v>0.17408122738189796</v>
      </c>
      <c r="U72" s="150"/>
      <c r="V72" s="229">
        <f t="shared" si="3"/>
        <v>69</v>
      </c>
      <c r="W72" s="126" t="s">
        <v>45</v>
      </c>
      <c r="X72" s="130" t="s">
        <v>180</v>
      </c>
    </row>
    <row r="73" spans="1:24" s="14" customFormat="1" ht="12.75" customHeight="1">
      <c r="A73" s="23" t="s">
        <v>46</v>
      </c>
      <c r="B73" s="38">
        <v>1</v>
      </c>
      <c r="C73" s="22"/>
      <c r="D73" s="34"/>
      <c r="E73" s="20">
        <v>-2.5064722665124601E-3</v>
      </c>
      <c r="F73" s="20">
        <v>-5.5937238598915799E-3</v>
      </c>
      <c r="G73" s="20">
        <v>6.2388769637337395E-4</v>
      </c>
      <c r="H73" s="20">
        <v>7.7066159616067005E-4</v>
      </c>
      <c r="I73" s="20">
        <v>3.9968853097204103E-3</v>
      </c>
      <c r="J73" s="20">
        <v>-5.4988226649147999E-3</v>
      </c>
      <c r="K73" s="20">
        <v>-1.34209480381947E-3</v>
      </c>
      <c r="L73" s="20">
        <v>2.6596852855935299E-3</v>
      </c>
      <c r="M73" s="20">
        <v>1.42407352207117E-3</v>
      </c>
      <c r="N73" s="20">
        <v>-1.6861233315133501E-3</v>
      </c>
      <c r="O73" s="20">
        <v>-2.4908251503131498E-4</v>
      </c>
      <c r="P73" s="20">
        <v>1.66281276330568E-3</v>
      </c>
      <c r="Q73" s="20">
        <v>1.30982771938827E-3</v>
      </c>
      <c r="R73" s="57">
        <v>-6.9371975319914899E-3</v>
      </c>
      <c r="S73" s="18"/>
      <c r="T73" s="14">
        <f t="shared" si="2"/>
        <v>0.9781133756029774</v>
      </c>
      <c r="U73" s="150"/>
      <c r="V73" s="229">
        <f t="shared" si="3"/>
        <v>70</v>
      </c>
      <c r="W73" s="126" t="s">
        <v>46</v>
      </c>
      <c r="X73" s="130"/>
    </row>
    <row r="74" spans="1:24" s="14" customFormat="1" ht="12.75" customHeight="1">
      <c r="A74" s="23" t="s">
        <v>47</v>
      </c>
      <c r="B74" s="38">
        <v>1</v>
      </c>
      <c r="C74" s="22"/>
      <c r="D74" s="34"/>
      <c r="E74" s="20">
        <v>-3.6711383236021701E-4</v>
      </c>
      <c r="F74" s="20">
        <v>-3.3159112727070301E-3</v>
      </c>
      <c r="G74" s="20">
        <v>6.9196369265971103E-4</v>
      </c>
      <c r="H74" s="20">
        <v>5.1146283846546E-4</v>
      </c>
      <c r="I74" s="20">
        <v>-4.67186844766484E-4</v>
      </c>
      <c r="J74" s="20">
        <v>4.3522170050287997E-3</v>
      </c>
      <c r="K74" s="20">
        <v>1.3685878254980201E-3</v>
      </c>
      <c r="L74" s="20">
        <v>1.53764218167772E-3</v>
      </c>
      <c r="M74" s="20">
        <v>4.1499287233023597E-4</v>
      </c>
      <c r="N74" s="20">
        <v>-1.55103836582676E-3</v>
      </c>
      <c r="O74" s="20">
        <v>-2.02245690709538E-4</v>
      </c>
      <c r="P74" s="20">
        <v>1.8901591737684E-3</v>
      </c>
      <c r="Q74" s="20">
        <v>8.3769007014499104E-4</v>
      </c>
      <c r="R74" s="57">
        <v>-4.1431504357568403E-3</v>
      </c>
      <c r="S74" s="18"/>
      <c r="T74" s="14">
        <f t="shared" si="2"/>
        <v>0.59531588024604043</v>
      </c>
      <c r="U74" s="150"/>
      <c r="V74" s="229">
        <f t="shared" si="3"/>
        <v>71</v>
      </c>
      <c r="W74" s="126" t="s">
        <v>47</v>
      </c>
      <c r="X74" s="130"/>
    </row>
    <row r="75" spans="1:24" s="14" customFormat="1" ht="12.75" customHeight="1">
      <c r="A75" s="23" t="s">
        <v>48</v>
      </c>
      <c r="B75" s="38">
        <v>1</v>
      </c>
      <c r="C75" s="22"/>
      <c r="D75" s="34"/>
      <c r="E75" s="20">
        <v>6.66031984710678E-4</v>
      </c>
      <c r="F75" s="20">
        <v>-1.83876250240119E-3</v>
      </c>
      <c r="G75" s="20">
        <v>6.2879599704605599E-4</v>
      </c>
      <c r="H75" s="20">
        <v>2.07614494253403E-4</v>
      </c>
      <c r="I75" s="20">
        <v>8.8912435610490704E-5</v>
      </c>
      <c r="J75" s="20">
        <v>1.1653027483556999E-3</v>
      </c>
      <c r="K75" s="20">
        <v>3.9483532533073399E-4</v>
      </c>
      <c r="L75" s="20">
        <v>8.6906256324513498E-4</v>
      </c>
      <c r="M75" s="20">
        <v>2.7924969534649899E-4</v>
      </c>
      <c r="N75" s="20">
        <v>-1.5675793820332799E-3</v>
      </c>
      <c r="O75" s="20">
        <v>-3.5681652246728898E-4</v>
      </c>
      <c r="P75" s="20">
        <v>8.7196006568132699E-4</v>
      </c>
      <c r="Q75" s="20">
        <v>2.5910410357921001E-4</v>
      </c>
      <c r="R75" s="57">
        <v>-2.3419303455762602E-3</v>
      </c>
      <c r="S75" s="18"/>
      <c r="T75" s="14">
        <f t="shared" si="2"/>
        <v>0.25725697873654374</v>
      </c>
      <c r="U75" s="150"/>
      <c r="V75" s="229">
        <f t="shared" si="3"/>
        <v>72</v>
      </c>
      <c r="W75" s="126" t="s">
        <v>48</v>
      </c>
      <c r="X75" s="130"/>
    </row>
    <row r="76" spans="1:24" s="14" customFormat="1" ht="12.75" customHeight="1">
      <c r="A76" s="222" t="s">
        <v>46</v>
      </c>
      <c r="B76" s="38">
        <v>1</v>
      </c>
      <c r="C76" s="22"/>
      <c r="D76" s="34"/>
      <c r="E76" s="20">
        <v>-5.0129445330249203E-3</v>
      </c>
      <c r="F76" s="20">
        <v>-1.118744771978316E-2</v>
      </c>
      <c r="G76" s="20">
        <v>1.2477753927467479E-3</v>
      </c>
      <c r="H76" s="20">
        <v>1.5413231923213401E-3</v>
      </c>
      <c r="I76" s="20">
        <v>7.9937706194408206E-3</v>
      </c>
      <c r="J76" s="20">
        <v>-1.09976453298296E-2</v>
      </c>
      <c r="K76" s="20">
        <v>-2.6841896076389401E-3</v>
      </c>
      <c r="L76" s="20">
        <v>5.3193705711870598E-3</v>
      </c>
      <c r="M76" s="20">
        <v>2.84814704414234E-3</v>
      </c>
      <c r="N76" s="20">
        <v>-3.3722466630267001E-3</v>
      </c>
      <c r="O76" s="20">
        <v>-4.9816503006262997E-4</v>
      </c>
      <c r="P76" s="20">
        <v>3.32562552661136E-3</v>
      </c>
      <c r="Q76" s="20">
        <v>2.6196554387765401E-3</v>
      </c>
      <c r="R76" s="57">
        <v>-1.387439506398298E-2</v>
      </c>
      <c r="S76" s="18"/>
      <c r="T76" s="14">
        <f t="shared" si="2"/>
        <v>1.9562267512059548</v>
      </c>
      <c r="U76" s="150">
        <v>1</v>
      </c>
      <c r="V76" s="129">
        <f t="shared" si="3"/>
        <v>73</v>
      </c>
      <c r="W76" s="128" t="s">
        <v>46</v>
      </c>
      <c r="X76" s="229"/>
    </row>
    <row r="77" spans="1:24" s="14" customFormat="1" ht="12.75" customHeight="1">
      <c r="A77" s="222" t="s">
        <v>47</v>
      </c>
      <c r="B77" s="38">
        <v>1</v>
      </c>
      <c r="C77" s="22"/>
      <c r="D77" s="34"/>
      <c r="E77" s="20">
        <v>-7.3422766472043403E-4</v>
      </c>
      <c r="F77" s="20">
        <v>-6.6318225454140602E-3</v>
      </c>
      <c r="G77" s="20">
        <v>1.3839273853194221E-3</v>
      </c>
      <c r="H77" s="20">
        <v>1.02292567693092E-3</v>
      </c>
      <c r="I77" s="20">
        <v>-9.34373689532968E-4</v>
      </c>
      <c r="J77" s="20">
        <v>8.7044340100575993E-3</v>
      </c>
      <c r="K77" s="20">
        <v>2.7371756509960402E-3</v>
      </c>
      <c r="L77" s="20">
        <v>3.0752843633554401E-3</v>
      </c>
      <c r="M77" s="20">
        <v>8.2998574466047195E-4</v>
      </c>
      <c r="N77" s="20">
        <v>-3.1020767316535199E-3</v>
      </c>
      <c r="O77" s="20">
        <v>-4.04491381419076E-4</v>
      </c>
      <c r="P77" s="20">
        <v>3.7803183475368001E-3</v>
      </c>
      <c r="Q77" s="20">
        <v>1.6753801402899821E-3</v>
      </c>
      <c r="R77" s="57">
        <v>-8.2863008715136806E-3</v>
      </c>
      <c r="S77" s="18"/>
      <c r="T77" s="14">
        <f t="shared" si="2"/>
        <v>1.1906317604920809</v>
      </c>
      <c r="U77" s="150">
        <v>1</v>
      </c>
      <c r="V77" s="129">
        <f t="shared" si="3"/>
        <v>74</v>
      </c>
      <c r="W77" s="128" t="s">
        <v>47</v>
      </c>
      <c r="X77" s="229"/>
    </row>
    <row r="78" spans="1:24" s="14" customFormat="1" ht="12.75" customHeight="1" thickBot="1">
      <c r="A78" s="222" t="s">
        <v>48</v>
      </c>
      <c r="B78" s="54">
        <v>1</v>
      </c>
      <c r="C78" s="22"/>
      <c r="D78" s="34"/>
      <c r="E78" s="20">
        <v>1.332063969421356E-3</v>
      </c>
      <c r="F78" s="20">
        <v>-3.6775250048023799E-3</v>
      </c>
      <c r="G78" s="20">
        <v>1.257591994092112E-3</v>
      </c>
      <c r="H78" s="20">
        <v>4.1522898850680599E-4</v>
      </c>
      <c r="I78" s="20">
        <v>1.7782487122098141E-4</v>
      </c>
      <c r="J78" s="20">
        <v>2.3306054967113998E-3</v>
      </c>
      <c r="K78" s="20">
        <v>7.8967065066146798E-4</v>
      </c>
      <c r="L78" s="20">
        <v>1.73812512649027E-3</v>
      </c>
      <c r="M78" s="20">
        <v>5.5849939069299798E-4</v>
      </c>
      <c r="N78" s="20">
        <v>-3.1351587640665599E-3</v>
      </c>
      <c r="O78" s="20">
        <v>-7.1363304493457795E-4</v>
      </c>
      <c r="P78" s="20">
        <v>1.743920131362654E-3</v>
      </c>
      <c r="Q78" s="20">
        <v>5.1820820715842001E-4</v>
      </c>
      <c r="R78" s="57">
        <v>-4.6838606911525204E-3</v>
      </c>
      <c r="S78" s="18"/>
      <c r="T78" s="14">
        <f t="shared" si="2"/>
        <v>0.51451395747308748</v>
      </c>
      <c r="U78" s="150">
        <v>1</v>
      </c>
      <c r="V78" s="129">
        <f t="shared" si="3"/>
        <v>75</v>
      </c>
      <c r="W78" s="128" t="s">
        <v>48</v>
      </c>
      <c r="X78" s="229"/>
    </row>
    <row r="79" spans="1:24" s="14" customFormat="1" ht="12.75" customHeight="1">
      <c r="A79" s="133" t="s">
        <v>134</v>
      </c>
      <c r="B79" s="38">
        <v>1</v>
      </c>
      <c r="C79" s="44"/>
      <c r="D79" s="52"/>
      <c r="E79" s="53">
        <v>-1.1764691555529399E-2</v>
      </c>
      <c r="F79" s="53">
        <v>-3.7426350034770002E-3</v>
      </c>
      <c r="G79" s="53">
        <v>-3.2712756961544198E-3</v>
      </c>
      <c r="H79" s="53">
        <v>-1.4735580160546199E-3</v>
      </c>
      <c r="I79" s="53">
        <v>-1.8626529116485E-3</v>
      </c>
      <c r="J79" s="53">
        <v>-6.00265999630889E-3</v>
      </c>
      <c r="K79" s="53">
        <v>-2.1309915010386399E-3</v>
      </c>
      <c r="L79" s="53">
        <v>-8.1614333315255406E-3</v>
      </c>
      <c r="M79" s="53">
        <v>-2.63730699065063E-3</v>
      </c>
      <c r="N79" s="53">
        <v>-3.2819072668218599E-3</v>
      </c>
      <c r="O79" s="53">
        <v>-6.0424159123035797E-3</v>
      </c>
      <c r="P79" s="53">
        <v>-8.1738575535649297E-3</v>
      </c>
      <c r="Q79" s="53">
        <v>-8.3875797609369307E-3</v>
      </c>
      <c r="R79" s="56">
        <v>-3.1962507373733402E-3</v>
      </c>
      <c r="S79" s="18"/>
      <c r="T79" s="14">
        <f t="shared" si="2"/>
        <v>1.6819477160091949</v>
      </c>
      <c r="U79" s="150">
        <v>1</v>
      </c>
      <c r="V79" s="129">
        <f t="shared" si="3"/>
        <v>76</v>
      </c>
      <c r="W79" s="128" t="s">
        <v>134</v>
      </c>
      <c r="X79" s="130" t="s">
        <v>135</v>
      </c>
    </row>
    <row r="80" spans="1:24" s="14" customFormat="1" ht="12.75" customHeight="1">
      <c r="A80" s="23" t="s">
        <v>92</v>
      </c>
      <c r="B80" s="38">
        <v>1</v>
      </c>
      <c r="C80" s="22"/>
      <c r="D80" s="34"/>
      <c r="E80" s="20">
        <v>-7.1189545302493204E-3</v>
      </c>
      <c r="F80" s="20">
        <v>-9.9472456456849295E-3</v>
      </c>
      <c r="G80" s="20">
        <v>-5.0588574607077098E-3</v>
      </c>
      <c r="H80" s="20">
        <v>-5.1514916672556997E-3</v>
      </c>
      <c r="I80" s="20">
        <v>-4.9243296732856198E-3</v>
      </c>
      <c r="J80" s="20">
        <v>1.13703346626754E-4</v>
      </c>
      <c r="K80" s="20">
        <v>-9.9881668472161095E-3</v>
      </c>
      <c r="L80" s="20">
        <v>-1.17892238887705E-4</v>
      </c>
      <c r="M80" s="20">
        <v>-9.4472178106116706E-3</v>
      </c>
      <c r="N80" s="20">
        <v>-1.8230461878895399E-4</v>
      </c>
      <c r="O80" s="20">
        <v>-7.3877408383493496E-4</v>
      </c>
      <c r="P80" s="20">
        <v>-2.7985393523788902E-4</v>
      </c>
      <c r="Q80" s="20">
        <v>-4.72959115357665E-4</v>
      </c>
      <c r="R80" s="57">
        <v>-1.08345870491876E-2</v>
      </c>
      <c r="S80" s="18"/>
      <c r="T80" s="14">
        <f t="shared" si="2"/>
        <v>2.0372686760368861</v>
      </c>
      <c r="U80" s="150"/>
      <c r="V80" s="229">
        <f t="shared" si="3"/>
        <v>77</v>
      </c>
      <c r="W80" s="131" t="s">
        <v>92</v>
      </c>
      <c r="X80" s="130" t="s">
        <v>146</v>
      </c>
    </row>
    <row r="81" spans="1:24" s="14" customFormat="1" ht="12.75" customHeight="1">
      <c r="A81" s="222" t="s">
        <v>93</v>
      </c>
      <c r="B81" s="38">
        <v>1</v>
      </c>
      <c r="C81" s="22"/>
      <c r="D81" s="34"/>
      <c r="E81" s="20">
        <v>-1.2366087524846208E-3</v>
      </c>
      <c r="F81" s="20">
        <v>-8.075928143946429E-3</v>
      </c>
      <c r="G81" s="20">
        <v>-3.4232196126305001E-3</v>
      </c>
      <c r="H81" s="20">
        <v>-4.4147126592283901E-3</v>
      </c>
      <c r="I81" s="20">
        <v>-3.9930032174613703E-3</v>
      </c>
      <c r="J81" s="20">
        <v>3.1150333447811989E-3</v>
      </c>
      <c r="K81" s="20">
        <v>-8.9226710966967895E-3</v>
      </c>
      <c r="L81" s="20">
        <v>3.962824426875065E-3</v>
      </c>
      <c r="M81" s="20">
        <v>-8.1285643152863556E-3</v>
      </c>
      <c r="N81" s="20">
        <v>1.458649014621976E-3</v>
      </c>
      <c r="O81" s="20">
        <v>2.282433872316855E-3</v>
      </c>
      <c r="P81" s="20">
        <v>3.8070748415445759E-3</v>
      </c>
      <c r="Q81" s="20">
        <v>3.7208307651108003E-3</v>
      </c>
      <c r="R81" s="57">
        <v>-9.2364616805009295E-3</v>
      </c>
      <c r="S81" s="18"/>
      <c r="T81" s="14">
        <f t="shared" si="2"/>
        <v>1.6881855323758861</v>
      </c>
      <c r="U81" s="150">
        <v>1</v>
      </c>
      <c r="V81" s="129">
        <f t="shared" si="3"/>
        <v>78</v>
      </c>
      <c r="W81" s="128" t="s">
        <v>93</v>
      </c>
      <c r="X81" s="124"/>
    </row>
    <row r="82" spans="1:24" s="14" customFormat="1" ht="12.75" customHeight="1">
      <c r="A82" s="222" t="s">
        <v>89</v>
      </c>
      <c r="B82" s="38">
        <v>1</v>
      </c>
      <c r="C82" s="22"/>
      <c r="D82" s="34"/>
      <c r="E82" s="20">
        <v>-5.8823457777646996E-3</v>
      </c>
      <c r="F82" s="20">
        <v>8.1286824982614997E-3</v>
      </c>
      <c r="G82" s="20">
        <v>-1.6356378480772099E-3</v>
      </c>
      <c r="H82" s="20">
        <v>-7.3677900802730995E-4</v>
      </c>
      <c r="I82" s="20">
        <v>-9.3132645582424999E-4</v>
      </c>
      <c r="J82" s="20">
        <v>-3.001329998154445E-3</v>
      </c>
      <c r="K82" s="20">
        <v>-1.0654957505193199E-3</v>
      </c>
      <c r="L82" s="20">
        <v>-4.0807166657627703E-3</v>
      </c>
      <c r="M82" s="20">
        <v>-1.318653495325315E-3</v>
      </c>
      <c r="N82" s="20">
        <v>-1.6409536334109299E-3</v>
      </c>
      <c r="O82" s="20">
        <v>-3.0212079561517898E-3</v>
      </c>
      <c r="P82" s="20">
        <v>-4.0869287767824648E-3</v>
      </c>
      <c r="Q82" s="20">
        <v>-4.1937898804684653E-3</v>
      </c>
      <c r="R82" s="57">
        <v>-1.5981253686866701E-3</v>
      </c>
      <c r="S82" s="18"/>
      <c r="T82" s="14">
        <f t="shared" si="2"/>
        <v>1.1545447282368217</v>
      </c>
      <c r="U82" s="150">
        <v>1</v>
      </c>
      <c r="V82" s="129">
        <f t="shared" si="3"/>
        <v>79</v>
      </c>
      <c r="W82" s="128" t="s">
        <v>89</v>
      </c>
      <c r="X82" s="229"/>
    </row>
    <row r="83" spans="1:24" s="14" customFormat="1" ht="12.75" customHeight="1">
      <c r="A83" s="222" t="s">
        <v>94</v>
      </c>
      <c r="B83" s="38">
        <v>1</v>
      </c>
      <c r="C83" s="22"/>
      <c r="D83" s="34"/>
      <c r="E83" s="20">
        <v>-1.1764691555529399E-2</v>
      </c>
      <c r="F83" s="20">
        <v>-3.7426350034770002E-3</v>
      </c>
      <c r="G83" s="20">
        <v>-3.2712756961544198E-3</v>
      </c>
      <c r="H83" s="20">
        <v>-1.4735580160546199E-3</v>
      </c>
      <c r="I83" s="20">
        <v>-1.8626529116485E-3</v>
      </c>
      <c r="J83" s="20">
        <v>-6.00265999630889E-3</v>
      </c>
      <c r="K83" s="20">
        <v>-2.1309915010386399E-3</v>
      </c>
      <c r="L83" s="20">
        <v>1.8385666684744596E-3</v>
      </c>
      <c r="M83" s="20">
        <v>-2.63730699065063E-3</v>
      </c>
      <c r="N83" s="20">
        <v>-3.2819072668218599E-3</v>
      </c>
      <c r="O83" s="20">
        <v>-6.0424159123035797E-3</v>
      </c>
      <c r="P83" s="20">
        <v>-8.1738575535649297E-3</v>
      </c>
      <c r="Q83" s="20">
        <v>-8.3875797609369307E-3</v>
      </c>
      <c r="R83" s="57">
        <v>-3.1962507373733402E-3</v>
      </c>
      <c r="S83" s="18"/>
      <c r="T83" s="14">
        <f t="shared" si="2"/>
        <v>1.4821138461951699</v>
      </c>
      <c r="U83" s="150">
        <v>1</v>
      </c>
      <c r="V83" s="129">
        <f t="shared" si="3"/>
        <v>80</v>
      </c>
      <c r="W83" s="128" t="s">
        <v>94</v>
      </c>
      <c r="X83" s="124" t="s">
        <v>200</v>
      </c>
    </row>
    <row r="84" spans="1:24" s="14" customFormat="1" ht="12.75" customHeight="1">
      <c r="A84" s="23" t="s">
        <v>95</v>
      </c>
      <c r="B84" s="38">
        <v>1</v>
      </c>
      <c r="C84" s="22"/>
      <c r="D84" s="34"/>
      <c r="E84" s="21">
        <v>1.1764691555529399E-2</v>
      </c>
      <c r="F84" s="21">
        <v>3.7426350034770002E-3</v>
      </c>
      <c r="G84" s="21">
        <v>3.2712756961544198E-3</v>
      </c>
      <c r="H84" s="21">
        <v>1.4735580160546199E-3</v>
      </c>
      <c r="I84" s="21">
        <v>1.8626529116485E-3</v>
      </c>
      <c r="J84" s="21">
        <v>6.00265999630889E-3</v>
      </c>
      <c r="K84" s="21">
        <v>2.1309915010386399E-3</v>
      </c>
      <c r="L84" s="21">
        <v>8.1614333315255406E-3</v>
      </c>
      <c r="M84" s="21">
        <v>2.63730699065063E-3</v>
      </c>
      <c r="N84" s="21">
        <v>3.2819072668218599E-3</v>
      </c>
      <c r="O84" s="21">
        <v>6.0424159123035797E-3</v>
      </c>
      <c r="P84" s="21">
        <v>8.1738575535649297E-3</v>
      </c>
      <c r="Q84" s="21">
        <v>8.3875797609369307E-3</v>
      </c>
      <c r="R84" s="60">
        <v>3.1962507373733402E-3</v>
      </c>
      <c r="S84" s="18"/>
      <c r="T84" s="14">
        <f t="shared" si="2"/>
        <v>1.6819477160091949</v>
      </c>
      <c r="U84" s="150"/>
      <c r="V84" s="229">
        <f t="shared" si="3"/>
        <v>81</v>
      </c>
      <c r="W84" s="131" t="s">
        <v>95</v>
      </c>
      <c r="X84" s="130" t="s">
        <v>198</v>
      </c>
    </row>
    <row r="85" spans="1:24" s="14" customFormat="1" ht="12.75" customHeight="1">
      <c r="A85" s="222" t="s">
        <v>49</v>
      </c>
      <c r="B85" s="38">
        <v>1</v>
      </c>
      <c r="C85" s="22"/>
      <c r="D85" s="34"/>
      <c r="E85" s="21">
        <v>0.01</v>
      </c>
      <c r="F85" s="21">
        <v>0</v>
      </c>
      <c r="G85" s="21">
        <v>0</v>
      </c>
      <c r="H85" s="21">
        <v>0</v>
      </c>
      <c r="I85" s="21">
        <v>0</v>
      </c>
      <c r="J85" s="21">
        <v>0</v>
      </c>
      <c r="K85" s="21">
        <v>0</v>
      </c>
      <c r="L85" s="21">
        <v>0</v>
      </c>
      <c r="M85" s="21">
        <v>0</v>
      </c>
      <c r="N85" s="21">
        <v>0</v>
      </c>
      <c r="O85" s="21">
        <v>0</v>
      </c>
      <c r="P85" s="21">
        <v>0</v>
      </c>
      <c r="Q85" s="21">
        <v>0</v>
      </c>
      <c r="R85" s="60">
        <v>0</v>
      </c>
      <c r="S85" s="18"/>
      <c r="T85" s="14">
        <f t="shared" si="2"/>
        <v>1</v>
      </c>
      <c r="U85" s="150">
        <v>1</v>
      </c>
      <c r="V85" s="129">
        <f t="shared" si="3"/>
        <v>82</v>
      </c>
      <c r="W85" s="128" t="s">
        <v>49</v>
      </c>
      <c r="X85" s="229"/>
    </row>
    <row r="86" spans="1:24" s="14" customFormat="1" ht="12.75" customHeight="1">
      <c r="A86" s="222" t="s">
        <v>50</v>
      </c>
      <c r="B86" s="38">
        <v>1</v>
      </c>
      <c r="C86" s="22"/>
      <c r="D86" s="34"/>
      <c r="E86" s="21">
        <v>0</v>
      </c>
      <c r="F86" s="21">
        <v>0</v>
      </c>
      <c r="G86" s="21">
        <v>0.01</v>
      </c>
      <c r="H86" s="21">
        <v>0</v>
      </c>
      <c r="I86" s="21">
        <v>0</v>
      </c>
      <c r="J86" s="21">
        <v>0</v>
      </c>
      <c r="K86" s="21">
        <v>0</v>
      </c>
      <c r="L86" s="21">
        <v>0</v>
      </c>
      <c r="M86" s="21">
        <v>0</v>
      </c>
      <c r="N86" s="21">
        <v>0</v>
      </c>
      <c r="O86" s="21">
        <v>0</v>
      </c>
      <c r="P86" s="21">
        <v>0</v>
      </c>
      <c r="Q86" s="21">
        <v>0</v>
      </c>
      <c r="R86" s="60">
        <v>0</v>
      </c>
      <c r="S86" s="18"/>
      <c r="T86" s="14">
        <f t="shared" si="2"/>
        <v>1</v>
      </c>
      <c r="U86" s="150">
        <v>1</v>
      </c>
      <c r="V86" s="129">
        <f t="shared" si="3"/>
        <v>83</v>
      </c>
      <c r="W86" s="128" t="s">
        <v>50</v>
      </c>
      <c r="X86" s="229"/>
    </row>
    <row r="87" spans="1:24" s="14" customFormat="1" ht="12.75" customHeight="1">
      <c r="A87" s="222" t="s">
        <v>51</v>
      </c>
      <c r="B87" s="38">
        <v>1</v>
      </c>
      <c r="C87" s="22"/>
      <c r="D87" s="34"/>
      <c r="E87" s="21">
        <v>0</v>
      </c>
      <c r="F87" s="21">
        <v>0</v>
      </c>
      <c r="G87" s="21">
        <v>0</v>
      </c>
      <c r="H87" s="21">
        <v>0.01</v>
      </c>
      <c r="I87" s="21">
        <v>0</v>
      </c>
      <c r="J87" s="21">
        <v>0</v>
      </c>
      <c r="K87" s="21">
        <v>0</v>
      </c>
      <c r="L87" s="21">
        <v>0</v>
      </c>
      <c r="M87" s="21">
        <v>0</v>
      </c>
      <c r="N87" s="21">
        <v>0</v>
      </c>
      <c r="O87" s="21">
        <v>0</v>
      </c>
      <c r="P87" s="21">
        <v>0</v>
      </c>
      <c r="Q87" s="21">
        <v>0</v>
      </c>
      <c r="R87" s="60">
        <v>0</v>
      </c>
      <c r="S87" s="18"/>
      <c r="T87" s="14">
        <f t="shared" si="2"/>
        <v>1</v>
      </c>
      <c r="U87" s="150">
        <v>1</v>
      </c>
      <c r="V87" s="129">
        <f t="shared" si="3"/>
        <v>84</v>
      </c>
      <c r="W87" s="128" t="s">
        <v>51</v>
      </c>
      <c r="X87" s="229"/>
    </row>
    <row r="88" spans="1:24" s="14" customFormat="1" ht="12.75" customHeight="1">
      <c r="A88" s="222" t="s">
        <v>52</v>
      </c>
      <c r="B88" s="38">
        <v>1</v>
      </c>
      <c r="C88" s="22"/>
      <c r="D88" s="34"/>
      <c r="E88" s="21">
        <v>0</v>
      </c>
      <c r="F88" s="21">
        <v>0</v>
      </c>
      <c r="G88" s="21">
        <v>0</v>
      </c>
      <c r="H88" s="21">
        <v>0</v>
      </c>
      <c r="I88" s="21">
        <v>0.01</v>
      </c>
      <c r="J88" s="21">
        <v>0</v>
      </c>
      <c r="K88" s="21">
        <v>0</v>
      </c>
      <c r="L88" s="21">
        <v>0</v>
      </c>
      <c r="M88" s="21">
        <v>0</v>
      </c>
      <c r="N88" s="21">
        <v>0</v>
      </c>
      <c r="O88" s="21">
        <v>0</v>
      </c>
      <c r="P88" s="21">
        <v>0</v>
      </c>
      <c r="Q88" s="21">
        <v>0</v>
      </c>
      <c r="R88" s="60">
        <v>0</v>
      </c>
      <c r="S88" s="18"/>
      <c r="T88" s="14">
        <f t="shared" si="2"/>
        <v>1</v>
      </c>
      <c r="U88" s="150">
        <v>1</v>
      </c>
      <c r="V88" s="129">
        <f t="shared" si="3"/>
        <v>85</v>
      </c>
      <c r="W88" s="128" t="s">
        <v>52</v>
      </c>
      <c r="X88" s="229"/>
    </row>
    <row r="89" spans="1:24" s="14" customFormat="1" ht="12.75" customHeight="1">
      <c r="A89" s="222" t="s">
        <v>53</v>
      </c>
      <c r="B89" s="38">
        <v>1</v>
      </c>
      <c r="C89" s="22"/>
      <c r="D89" s="34"/>
      <c r="E89" s="21">
        <v>0</v>
      </c>
      <c r="F89" s="21">
        <v>0</v>
      </c>
      <c r="G89" s="21">
        <v>0</v>
      </c>
      <c r="H89" s="21">
        <v>0</v>
      </c>
      <c r="I89" s="21">
        <v>0</v>
      </c>
      <c r="J89" s="21">
        <v>0.01</v>
      </c>
      <c r="K89" s="21">
        <v>0</v>
      </c>
      <c r="L89" s="21">
        <v>0</v>
      </c>
      <c r="M89" s="21">
        <v>0</v>
      </c>
      <c r="N89" s="21">
        <v>0</v>
      </c>
      <c r="O89" s="21">
        <v>0</v>
      </c>
      <c r="P89" s="21">
        <v>0</v>
      </c>
      <c r="Q89" s="21">
        <v>0</v>
      </c>
      <c r="R89" s="60">
        <v>0</v>
      </c>
      <c r="S89" s="18"/>
      <c r="T89" s="14">
        <f t="shared" si="2"/>
        <v>1</v>
      </c>
      <c r="U89" s="150">
        <v>1</v>
      </c>
      <c r="V89" s="129">
        <f t="shared" si="3"/>
        <v>86</v>
      </c>
      <c r="W89" s="128" t="s">
        <v>53</v>
      </c>
      <c r="X89" s="229"/>
    </row>
    <row r="90" spans="1:24" s="14" customFormat="1" ht="12.75" customHeight="1">
      <c r="A90" s="222" t="s">
        <v>54</v>
      </c>
      <c r="B90" s="38">
        <v>1</v>
      </c>
      <c r="C90" s="22"/>
      <c r="D90" s="34"/>
      <c r="E90" s="21">
        <v>0</v>
      </c>
      <c r="F90" s="21">
        <v>0</v>
      </c>
      <c r="G90" s="21">
        <v>0</v>
      </c>
      <c r="H90" s="21">
        <v>0</v>
      </c>
      <c r="I90" s="21">
        <v>0</v>
      </c>
      <c r="J90" s="21">
        <v>0</v>
      </c>
      <c r="K90" s="21">
        <v>0.01</v>
      </c>
      <c r="L90" s="21">
        <v>0</v>
      </c>
      <c r="M90" s="21">
        <v>0</v>
      </c>
      <c r="N90" s="21">
        <v>0</v>
      </c>
      <c r="O90" s="21">
        <v>0</v>
      </c>
      <c r="P90" s="21">
        <v>0</v>
      </c>
      <c r="Q90" s="21">
        <v>0</v>
      </c>
      <c r="R90" s="60">
        <v>0</v>
      </c>
      <c r="S90" s="18"/>
      <c r="T90" s="14">
        <f t="shared" si="2"/>
        <v>1</v>
      </c>
      <c r="U90" s="150">
        <v>1</v>
      </c>
      <c r="V90" s="129">
        <f t="shared" si="3"/>
        <v>87</v>
      </c>
      <c r="W90" s="128" t="s">
        <v>54</v>
      </c>
      <c r="X90" s="229"/>
    </row>
    <row r="91" spans="1:24" s="14" customFormat="1" ht="12.75" customHeight="1">
      <c r="A91" s="222" t="s">
        <v>55</v>
      </c>
      <c r="B91" s="38">
        <v>1</v>
      </c>
      <c r="C91" s="22"/>
      <c r="D91" s="34"/>
      <c r="E91" s="21">
        <v>0</v>
      </c>
      <c r="F91" s="21">
        <v>0</v>
      </c>
      <c r="G91" s="21">
        <v>0</v>
      </c>
      <c r="H91" s="21">
        <v>0</v>
      </c>
      <c r="I91" s="21">
        <v>0</v>
      </c>
      <c r="J91" s="21">
        <v>0</v>
      </c>
      <c r="K91" s="21">
        <v>0</v>
      </c>
      <c r="L91" s="21">
        <v>0</v>
      </c>
      <c r="M91" s="21">
        <v>0.01</v>
      </c>
      <c r="N91" s="21">
        <v>0</v>
      </c>
      <c r="O91" s="21">
        <v>0</v>
      </c>
      <c r="P91" s="21">
        <v>0</v>
      </c>
      <c r="Q91" s="21">
        <v>0</v>
      </c>
      <c r="R91" s="60">
        <v>0</v>
      </c>
      <c r="S91" s="18"/>
      <c r="T91" s="14">
        <f t="shared" si="2"/>
        <v>1</v>
      </c>
      <c r="U91" s="150">
        <v>1</v>
      </c>
      <c r="V91" s="129">
        <f t="shared" si="3"/>
        <v>88</v>
      </c>
      <c r="W91" s="128" t="s">
        <v>55</v>
      </c>
      <c r="X91" s="229"/>
    </row>
    <row r="92" spans="1:24" s="14" customFormat="1" ht="12.75" customHeight="1">
      <c r="A92" s="23" t="s">
        <v>56</v>
      </c>
      <c r="B92" s="38">
        <v>1</v>
      </c>
      <c r="C92" s="22"/>
      <c r="D92" s="34"/>
      <c r="E92" s="21">
        <v>0</v>
      </c>
      <c r="F92" s="21">
        <v>0</v>
      </c>
      <c r="G92" s="21">
        <v>0</v>
      </c>
      <c r="H92" s="21">
        <v>0</v>
      </c>
      <c r="I92" s="21">
        <v>0</v>
      </c>
      <c r="J92" s="21">
        <v>0</v>
      </c>
      <c r="K92" s="21">
        <v>0</v>
      </c>
      <c r="L92" s="21">
        <v>0</v>
      </c>
      <c r="M92" s="21">
        <v>0</v>
      </c>
      <c r="N92" s="21">
        <v>0.01</v>
      </c>
      <c r="O92" s="21">
        <v>0</v>
      </c>
      <c r="P92" s="21">
        <v>0</v>
      </c>
      <c r="Q92" s="21">
        <v>0</v>
      </c>
      <c r="R92" s="60">
        <v>0</v>
      </c>
      <c r="S92" s="18"/>
      <c r="T92" s="14">
        <f t="shared" si="2"/>
        <v>0</v>
      </c>
      <c r="U92" s="150"/>
      <c r="V92" s="229">
        <f t="shared" si="3"/>
        <v>89</v>
      </c>
      <c r="W92" s="131" t="s">
        <v>56</v>
      </c>
      <c r="X92" s="130" t="s">
        <v>145</v>
      </c>
    </row>
    <row r="93" spans="1:24" s="14" customFormat="1" ht="12.75" customHeight="1">
      <c r="A93" s="23" t="s">
        <v>57</v>
      </c>
      <c r="B93" s="38">
        <v>1</v>
      </c>
      <c r="C93" s="22"/>
      <c r="D93" s="34"/>
      <c r="E93" s="21">
        <v>0</v>
      </c>
      <c r="F93" s="21">
        <v>0</v>
      </c>
      <c r="G93" s="21">
        <v>0</v>
      </c>
      <c r="H93" s="21">
        <v>0</v>
      </c>
      <c r="I93" s="21">
        <v>0</v>
      </c>
      <c r="J93" s="21">
        <v>0</v>
      </c>
      <c r="K93" s="21">
        <v>0</v>
      </c>
      <c r="L93" s="21">
        <v>0</v>
      </c>
      <c r="M93" s="21">
        <v>0</v>
      </c>
      <c r="N93" s="21">
        <v>0</v>
      </c>
      <c r="O93" s="21">
        <v>0.01</v>
      </c>
      <c r="P93" s="21">
        <v>0</v>
      </c>
      <c r="Q93" s="21">
        <v>0</v>
      </c>
      <c r="R93" s="60">
        <v>0</v>
      </c>
      <c r="S93" s="18"/>
      <c r="T93" s="14">
        <f t="shared" si="2"/>
        <v>0</v>
      </c>
      <c r="U93" s="150"/>
      <c r="V93" s="229">
        <f t="shared" si="3"/>
        <v>90</v>
      </c>
      <c r="W93" s="131" t="s">
        <v>57</v>
      </c>
      <c r="X93" s="130" t="s">
        <v>145</v>
      </c>
    </row>
    <row r="94" spans="1:24" s="14" customFormat="1" ht="12.75" customHeight="1">
      <c r="A94" s="23" t="s">
        <v>58</v>
      </c>
      <c r="B94" s="38">
        <v>1</v>
      </c>
      <c r="C94" s="22"/>
      <c r="D94" s="34"/>
      <c r="E94" s="21">
        <v>0</v>
      </c>
      <c r="F94" s="21">
        <v>0</v>
      </c>
      <c r="G94" s="21">
        <v>0</v>
      </c>
      <c r="H94" s="21">
        <v>0</v>
      </c>
      <c r="I94" s="21">
        <v>0</v>
      </c>
      <c r="J94" s="21">
        <v>0</v>
      </c>
      <c r="K94" s="21">
        <v>0</v>
      </c>
      <c r="L94" s="21">
        <v>0</v>
      </c>
      <c r="M94" s="21">
        <v>0</v>
      </c>
      <c r="N94" s="21">
        <v>0</v>
      </c>
      <c r="O94" s="21">
        <v>0</v>
      </c>
      <c r="P94" s="21">
        <v>0.01</v>
      </c>
      <c r="Q94" s="21">
        <v>0</v>
      </c>
      <c r="R94" s="60">
        <v>0</v>
      </c>
      <c r="S94" s="18"/>
      <c r="T94" s="14">
        <f t="shared" si="2"/>
        <v>0</v>
      </c>
      <c r="U94" s="150"/>
      <c r="V94" s="229">
        <f t="shared" si="3"/>
        <v>91</v>
      </c>
      <c r="W94" s="131" t="s">
        <v>58</v>
      </c>
      <c r="X94" s="130" t="s">
        <v>145</v>
      </c>
    </row>
    <row r="95" spans="1:24" s="14" customFormat="1" ht="12.75" customHeight="1">
      <c r="A95" s="23" t="s">
        <v>59</v>
      </c>
      <c r="B95" s="38">
        <v>1</v>
      </c>
      <c r="C95" s="22"/>
      <c r="D95" s="34"/>
      <c r="E95" s="21">
        <v>0</v>
      </c>
      <c r="F95" s="21">
        <v>0</v>
      </c>
      <c r="G95" s="21">
        <v>0</v>
      </c>
      <c r="H95" s="21">
        <v>0</v>
      </c>
      <c r="I95" s="21">
        <v>0</v>
      </c>
      <c r="J95" s="21">
        <v>0</v>
      </c>
      <c r="K95" s="21">
        <v>0</v>
      </c>
      <c r="L95" s="21">
        <v>0</v>
      </c>
      <c r="M95" s="21">
        <v>0</v>
      </c>
      <c r="N95" s="21">
        <v>0</v>
      </c>
      <c r="O95" s="21">
        <v>0</v>
      </c>
      <c r="P95" s="21">
        <v>0</v>
      </c>
      <c r="Q95" s="21">
        <v>0.01</v>
      </c>
      <c r="R95" s="60">
        <v>0</v>
      </c>
      <c r="S95" s="18"/>
      <c r="T95" s="14">
        <f t="shared" si="2"/>
        <v>0</v>
      </c>
      <c r="U95" s="150"/>
      <c r="V95" s="229">
        <f t="shared" si="3"/>
        <v>92</v>
      </c>
      <c r="W95" s="131" t="s">
        <v>59</v>
      </c>
      <c r="X95" s="130" t="s">
        <v>145</v>
      </c>
    </row>
    <row r="96" spans="1:24" s="14" customFormat="1" ht="12.75" customHeight="1" thickBot="1">
      <c r="A96" s="26" t="s">
        <v>60</v>
      </c>
      <c r="B96" s="38">
        <v>1</v>
      </c>
      <c r="C96" s="45"/>
      <c r="D96" s="55"/>
      <c r="E96" s="59">
        <v>0</v>
      </c>
      <c r="F96" s="59">
        <v>0</v>
      </c>
      <c r="G96" s="59">
        <v>0</v>
      </c>
      <c r="H96" s="59">
        <v>0</v>
      </c>
      <c r="I96" s="59">
        <v>0</v>
      </c>
      <c r="J96" s="59">
        <v>0</v>
      </c>
      <c r="K96" s="59">
        <v>0</v>
      </c>
      <c r="L96" s="59">
        <v>0</v>
      </c>
      <c r="M96" s="59">
        <v>0</v>
      </c>
      <c r="N96" s="59">
        <v>0</v>
      </c>
      <c r="O96" s="59">
        <v>0</v>
      </c>
      <c r="P96" s="59">
        <v>0</v>
      </c>
      <c r="Q96" s="59">
        <v>0</v>
      </c>
      <c r="R96" s="61">
        <v>0.01</v>
      </c>
      <c r="S96" s="18"/>
      <c r="T96" s="14">
        <f t="shared" si="2"/>
        <v>0</v>
      </c>
      <c r="U96" s="150"/>
      <c r="V96" s="229">
        <f t="shared" si="3"/>
        <v>93</v>
      </c>
      <c r="W96" s="131" t="s">
        <v>60</v>
      </c>
      <c r="X96" s="130" t="s">
        <v>145</v>
      </c>
    </row>
    <row r="97" spans="1:24" s="14" customFormat="1" ht="12.75" customHeight="1" thickBot="1">
      <c r="A97" s="234" t="s">
        <v>196</v>
      </c>
      <c r="B97" s="108">
        <v>1</v>
      </c>
      <c r="C97" s="109"/>
      <c r="D97" s="110"/>
      <c r="E97" s="111">
        <v>3.511176693690882E-3</v>
      </c>
      <c r="F97" s="111">
        <v>5.179854726336054E-3</v>
      </c>
      <c r="G97" s="111">
        <v>-1.934455380586641E-4</v>
      </c>
      <c r="H97" s="111">
        <v>-3.8633036441281031E-4</v>
      </c>
      <c r="I97" s="111">
        <v>2.0247299650140173E-3</v>
      </c>
      <c r="J97" s="111">
        <v>6.973571469088711E-3</v>
      </c>
      <c r="K97" s="111">
        <v>1.5032680798124009E-3</v>
      </c>
      <c r="L97" s="111">
        <v>-1.5851319886720098E-3</v>
      </c>
      <c r="M97" s="111">
        <v>1.7752132565035663E-3</v>
      </c>
      <c r="N97" s="111">
        <v>0</v>
      </c>
      <c r="O97" s="111">
        <v>0</v>
      </c>
      <c r="P97" s="111">
        <v>0</v>
      </c>
      <c r="Q97" s="111">
        <v>0</v>
      </c>
      <c r="R97" s="112">
        <v>0</v>
      </c>
      <c r="S97" s="18"/>
      <c r="U97" s="150">
        <v>1</v>
      </c>
      <c r="V97" s="129">
        <f t="shared" si="3"/>
        <v>94</v>
      </c>
      <c r="W97" s="223" t="s">
        <v>196</v>
      </c>
      <c r="X97" s="146"/>
    </row>
    <row r="98" spans="1:24" s="14" customFormat="1" ht="12.75" customHeight="1" thickBot="1">
      <c r="A98" s="17"/>
      <c r="B98" s="39"/>
      <c r="C98" s="19"/>
      <c r="D98" s="19"/>
      <c r="E98" s="18"/>
      <c r="F98" s="18"/>
      <c r="G98" s="18"/>
      <c r="H98" s="18"/>
      <c r="I98" s="18"/>
      <c r="J98" s="18"/>
      <c r="K98" s="18"/>
      <c r="L98" s="18"/>
      <c r="M98" s="18"/>
      <c r="N98" s="18"/>
      <c r="O98" s="18"/>
      <c r="P98" s="18"/>
      <c r="Q98" s="18"/>
      <c r="R98" s="18"/>
      <c r="S98" s="18"/>
      <c r="U98" s="150"/>
    </row>
    <row r="99" spans="1:24" s="14" customFormat="1" ht="12.75" customHeight="1">
      <c r="A99" s="24" t="s">
        <v>107</v>
      </c>
      <c r="B99" s="40"/>
      <c r="C99" s="25"/>
      <c r="D99" s="25"/>
      <c r="E99" s="35"/>
      <c r="F99" s="36"/>
      <c r="G99" s="36"/>
      <c r="H99" s="36"/>
      <c r="I99" s="36"/>
      <c r="J99" s="36"/>
      <c r="K99" s="36"/>
      <c r="L99" s="36"/>
      <c r="M99" s="36"/>
      <c r="N99" s="36"/>
      <c r="O99" s="36"/>
      <c r="P99" s="36"/>
      <c r="Q99" s="36"/>
      <c r="R99" s="37"/>
      <c r="S99" s="18"/>
      <c r="U99" s="150"/>
    </row>
    <row r="100" spans="1:24" s="14" customFormat="1" ht="12.75" customHeight="1">
      <c r="A100" s="23" t="s">
        <v>108</v>
      </c>
      <c r="B100" s="4"/>
      <c r="C100" s="19"/>
      <c r="D100" s="19"/>
      <c r="E100" s="41">
        <v>1E-3</v>
      </c>
      <c r="F100" s="42">
        <v>1E-3</v>
      </c>
      <c r="G100" s="42">
        <v>1E-3</v>
      </c>
      <c r="H100" s="42">
        <v>1E-3</v>
      </c>
      <c r="I100" s="42">
        <v>1E-3</v>
      </c>
      <c r="J100" s="42">
        <v>1E-3</v>
      </c>
      <c r="K100" s="42">
        <v>1E-3</v>
      </c>
      <c r="L100" s="42">
        <v>1E-3</v>
      </c>
      <c r="M100" s="42">
        <v>1E-3</v>
      </c>
      <c r="N100" s="42">
        <v>1E-3</v>
      </c>
      <c r="O100" s="42">
        <v>1E-3</v>
      </c>
      <c r="P100" s="42">
        <v>1E-3</v>
      </c>
      <c r="Q100" s="42">
        <v>1E-3</v>
      </c>
      <c r="R100" s="43">
        <v>1E-3</v>
      </c>
      <c r="S100" s="18"/>
      <c r="U100" s="150"/>
    </row>
    <row r="101" spans="1:24" s="14" customFormat="1" ht="12.75" customHeight="1" thickBot="1">
      <c r="A101" s="26" t="s">
        <v>109</v>
      </c>
      <c r="B101" s="5"/>
      <c r="C101" s="27"/>
      <c r="D101" s="27"/>
      <c r="E101" s="30"/>
      <c r="F101" s="28"/>
      <c r="G101" s="28"/>
      <c r="H101" s="28"/>
      <c r="I101" s="28"/>
      <c r="J101" s="28"/>
      <c r="K101" s="28"/>
      <c r="L101" s="28"/>
      <c r="M101" s="28"/>
      <c r="N101" s="28"/>
      <c r="O101" s="28"/>
      <c r="P101" s="28"/>
      <c r="Q101" s="28"/>
      <c r="R101" s="29"/>
      <c r="S101" s="18"/>
      <c r="U101" s="145"/>
    </row>
    <row r="102" spans="1:24" s="14" customFormat="1" ht="12.75" customHeight="1" thickBot="1">
      <c r="A102" s="17"/>
      <c r="B102" s="18"/>
      <c r="C102" s="19"/>
      <c r="D102" s="19"/>
      <c r="E102" s="31" t="s">
        <v>85</v>
      </c>
      <c r="F102" s="32" t="s">
        <v>89</v>
      </c>
      <c r="G102" s="32" t="s">
        <v>86</v>
      </c>
      <c r="H102" s="32" t="s">
        <v>87</v>
      </c>
      <c r="I102" s="32" t="s">
        <v>88</v>
      </c>
      <c r="J102" s="32" t="s">
        <v>96</v>
      </c>
      <c r="K102" s="32" t="s">
        <v>97</v>
      </c>
      <c r="L102" s="32" t="s">
        <v>94</v>
      </c>
      <c r="M102" s="32" t="s">
        <v>98</v>
      </c>
      <c r="N102" s="32" t="s">
        <v>90</v>
      </c>
      <c r="O102" s="32" t="s">
        <v>101</v>
      </c>
      <c r="P102" s="32" t="s">
        <v>99</v>
      </c>
      <c r="Q102" s="32" t="s">
        <v>100</v>
      </c>
      <c r="R102" s="33" t="s">
        <v>102</v>
      </c>
      <c r="S102" s="18"/>
      <c r="U102" s="145"/>
    </row>
    <row r="103" spans="1:24" s="14" customFormat="1" ht="12.75" customHeight="1">
      <c r="A103" s="17"/>
      <c r="B103" s="18"/>
      <c r="C103" s="19"/>
      <c r="D103" s="19"/>
      <c r="E103" s="18"/>
      <c r="F103" s="18"/>
      <c r="G103" s="18"/>
      <c r="H103" s="18"/>
      <c r="I103" s="18"/>
      <c r="J103" s="18"/>
      <c r="K103" s="18"/>
      <c r="L103" s="18"/>
      <c r="M103" s="18"/>
      <c r="N103" s="18"/>
      <c r="O103" s="18"/>
      <c r="P103" s="18"/>
      <c r="Q103" s="18"/>
      <c r="R103" s="18"/>
      <c r="S103" s="18"/>
      <c r="U103" s="143"/>
    </row>
    <row r="104" spans="1:24" s="14" customFormat="1" ht="12.75" customHeight="1">
      <c r="A104" s="17"/>
      <c r="B104" s="18"/>
      <c r="C104" s="19"/>
      <c r="D104" s="19"/>
      <c r="E104" s="18"/>
      <c r="F104" s="18"/>
      <c r="G104" s="18"/>
      <c r="H104" s="18"/>
      <c r="I104" s="18"/>
      <c r="J104" s="18"/>
      <c r="K104" s="18"/>
      <c r="L104" s="18"/>
      <c r="M104" s="18"/>
      <c r="N104" s="18"/>
      <c r="O104" s="18"/>
      <c r="P104" s="18"/>
      <c r="Q104" s="18"/>
      <c r="R104" s="18"/>
      <c r="S104" s="18"/>
      <c r="U104" s="143"/>
    </row>
    <row r="105" spans="1:24" s="14" customFormat="1" ht="12.75" customHeight="1">
      <c r="A105" s="12"/>
      <c r="B105" s="13"/>
      <c r="E105" s="13"/>
      <c r="F105" s="13"/>
      <c r="G105" s="13"/>
      <c r="H105" s="13"/>
      <c r="I105" s="13"/>
      <c r="J105" s="13"/>
      <c r="K105" s="13"/>
      <c r="L105" s="13"/>
      <c r="M105" s="13"/>
      <c r="N105" s="13"/>
      <c r="O105" s="13"/>
      <c r="P105" s="13"/>
      <c r="Q105" s="13"/>
      <c r="R105" s="13"/>
      <c r="S105" s="13"/>
      <c r="U105" s="143"/>
    </row>
    <row r="106" spans="1:24" s="14" customFormat="1" ht="12.75" customHeight="1">
      <c r="A106" s="12"/>
      <c r="B106" s="13"/>
      <c r="E106" s="13"/>
      <c r="F106" s="13"/>
      <c r="G106" s="13"/>
      <c r="H106" s="13"/>
      <c r="I106" s="13"/>
      <c r="J106" s="13"/>
      <c r="K106" s="13"/>
      <c r="L106" s="13"/>
      <c r="M106" s="13"/>
      <c r="N106" s="13"/>
      <c r="O106" s="13"/>
      <c r="P106" s="13"/>
      <c r="Q106" s="13"/>
      <c r="R106" s="13"/>
      <c r="S106" s="13"/>
      <c r="U106" s="138"/>
    </row>
    <row r="107" spans="1:24" s="11" customFormat="1">
      <c r="A107" s="9"/>
      <c r="B107" s="10"/>
      <c r="E107" s="10"/>
      <c r="F107" s="10"/>
      <c r="G107" s="10"/>
      <c r="H107" s="10"/>
      <c r="I107" s="10"/>
      <c r="J107" s="10"/>
      <c r="K107" s="10"/>
      <c r="L107" s="10"/>
      <c r="M107" s="10"/>
      <c r="N107" s="10"/>
      <c r="O107" s="10"/>
      <c r="P107" s="10"/>
      <c r="Q107" s="10"/>
      <c r="R107" s="10"/>
      <c r="S107" s="10"/>
      <c r="U107" s="138"/>
    </row>
    <row r="108" spans="1:24" s="11" customFormat="1">
      <c r="A108" s="9"/>
      <c r="B108" s="10"/>
      <c r="E108" s="10"/>
      <c r="F108" s="10"/>
      <c r="G108" s="10"/>
      <c r="H108" s="10"/>
      <c r="I108" s="10"/>
      <c r="J108" s="10"/>
      <c r="K108" s="10"/>
      <c r="L108" s="10"/>
      <c r="M108" s="10"/>
      <c r="N108" s="10"/>
      <c r="O108" s="10"/>
      <c r="P108" s="10"/>
      <c r="Q108" s="10"/>
      <c r="R108" s="10"/>
      <c r="S108" s="10"/>
      <c r="U108" s="138"/>
    </row>
    <row r="109" spans="1:24" s="11" customFormat="1">
      <c r="A109" s="9"/>
      <c r="B109" s="10"/>
      <c r="E109" s="10"/>
      <c r="F109" s="10"/>
      <c r="G109" s="10"/>
      <c r="H109" s="10"/>
      <c r="I109" s="10"/>
      <c r="J109" s="10"/>
      <c r="K109" s="10"/>
      <c r="L109" s="10"/>
      <c r="M109" s="10"/>
      <c r="N109" s="10"/>
      <c r="O109" s="10"/>
      <c r="P109" s="10"/>
      <c r="Q109" s="10"/>
      <c r="R109" s="10"/>
      <c r="S109" s="10"/>
      <c r="U109" s="138"/>
    </row>
    <row r="111" spans="1:24">
      <c r="B111" s="6"/>
    </row>
    <row r="112" spans="1:24">
      <c r="B112" s="6"/>
    </row>
    <row r="113" spans="2:2">
      <c r="B113" s="6"/>
    </row>
    <row r="114" spans="2:2">
      <c r="B114" s="6"/>
    </row>
    <row r="115" spans="2:2">
      <c r="B115" s="6"/>
    </row>
  </sheetData>
  <pageMargins left="0.7" right="0.7" top="0.75" bottom="0.75" header="0.3" footer="0.3"/>
  <pageSetup paperSize="9" orientation="portrait" r:id="rId1"/>
  <drawing r:id="rId2"/>
  <legacyDrawing r:id="rId3"/>
  <controls>
    <mc:AlternateContent xmlns:mc="http://schemas.openxmlformats.org/markup-compatibility/2006">
      <mc:Choice Requires="x14">
        <control shapeId="1031" r:id="rId4" name="VarErr1">
          <controlPr defaultSize="0" autoLine="0" r:id="rId5">
            <anchor moveWithCells="1">
              <from>
                <xdr:col>2</xdr:col>
                <xdr:colOff>247650</xdr:colOff>
                <xdr:row>3</xdr:row>
                <xdr:rowOff>19050</xdr:rowOff>
              </from>
              <to>
                <xdr:col>2</xdr:col>
                <xdr:colOff>409575</xdr:colOff>
                <xdr:row>3</xdr:row>
                <xdr:rowOff>142875</xdr:rowOff>
              </to>
            </anchor>
          </controlPr>
        </control>
      </mc:Choice>
      <mc:Fallback>
        <control shapeId="1031" r:id="rId4" name="VarErr1"/>
      </mc:Fallback>
    </mc:AlternateContent>
    <mc:AlternateContent xmlns:mc="http://schemas.openxmlformats.org/markup-compatibility/2006">
      <mc:Choice Requires="x14">
        <control shapeId="1032" r:id="rId6" name="VarErr2">
          <controlPr defaultSize="0" autoLine="0" r:id="rId5">
            <anchor moveWithCells="1">
              <from>
                <xdr:col>2</xdr:col>
                <xdr:colOff>247650</xdr:colOff>
                <xdr:row>4</xdr:row>
                <xdr:rowOff>19050</xdr:rowOff>
              </from>
              <to>
                <xdr:col>2</xdr:col>
                <xdr:colOff>409575</xdr:colOff>
                <xdr:row>4</xdr:row>
                <xdr:rowOff>142875</xdr:rowOff>
              </to>
            </anchor>
          </controlPr>
        </control>
      </mc:Choice>
      <mc:Fallback>
        <control shapeId="1032" r:id="rId6" name="VarErr2"/>
      </mc:Fallback>
    </mc:AlternateContent>
    <mc:AlternateContent xmlns:mc="http://schemas.openxmlformats.org/markup-compatibility/2006">
      <mc:Choice Requires="x14">
        <control shapeId="1033" r:id="rId7" name="VarErr3">
          <controlPr defaultSize="0" autoLine="0" r:id="rId5">
            <anchor moveWithCells="1">
              <from>
                <xdr:col>2</xdr:col>
                <xdr:colOff>247650</xdr:colOff>
                <xdr:row>5</xdr:row>
                <xdr:rowOff>19050</xdr:rowOff>
              </from>
              <to>
                <xdr:col>2</xdr:col>
                <xdr:colOff>409575</xdr:colOff>
                <xdr:row>5</xdr:row>
                <xdr:rowOff>142875</xdr:rowOff>
              </to>
            </anchor>
          </controlPr>
        </control>
      </mc:Choice>
      <mc:Fallback>
        <control shapeId="1033" r:id="rId7" name="VarErr3"/>
      </mc:Fallback>
    </mc:AlternateContent>
    <mc:AlternateContent xmlns:mc="http://schemas.openxmlformats.org/markup-compatibility/2006">
      <mc:Choice Requires="x14">
        <control shapeId="1034" r:id="rId8" name="VarErr4">
          <controlPr defaultSize="0" autoLine="0" r:id="rId5">
            <anchor moveWithCells="1">
              <from>
                <xdr:col>2</xdr:col>
                <xdr:colOff>247650</xdr:colOff>
                <xdr:row>6</xdr:row>
                <xdr:rowOff>19050</xdr:rowOff>
              </from>
              <to>
                <xdr:col>2</xdr:col>
                <xdr:colOff>409575</xdr:colOff>
                <xdr:row>6</xdr:row>
                <xdr:rowOff>142875</xdr:rowOff>
              </to>
            </anchor>
          </controlPr>
        </control>
      </mc:Choice>
      <mc:Fallback>
        <control shapeId="1034" r:id="rId8" name="VarErr4"/>
      </mc:Fallback>
    </mc:AlternateContent>
    <mc:AlternateContent xmlns:mc="http://schemas.openxmlformats.org/markup-compatibility/2006">
      <mc:Choice Requires="x14">
        <control shapeId="1035" r:id="rId9" name="VarErr5">
          <controlPr defaultSize="0" autoLine="0" r:id="rId5">
            <anchor moveWithCells="1">
              <from>
                <xdr:col>2</xdr:col>
                <xdr:colOff>247650</xdr:colOff>
                <xdr:row>7</xdr:row>
                <xdr:rowOff>19050</xdr:rowOff>
              </from>
              <to>
                <xdr:col>2</xdr:col>
                <xdr:colOff>409575</xdr:colOff>
                <xdr:row>7</xdr:row>
                <xdr:rowOff>142875</xdr:rowOff>
              </to>
            </anchor>
          </controlPr>
        </control>
      </mc:Choice>
      <mc:Fallback>
        <control shapeId="1035" r:id="rId9" name="VarErr5"/>
      </mc:Fallback>
    </mc:AlternateContent>
    <mc:AlternateContent xmlns:mc="http://schemas.openxmlformats.org/markup-compatibility/2006">
      <mc:Choice Requires="x14">
        <control shapeId="1036" r:id="rId10" name="VarErr6">
          <controlPr defaultSize="0" autoLine="0" r:id="rId5">
            <anchor moveWithCells="1">
              <from>
                <xdr:col>2</xdr:col>
                <xdr:colOff>247650</xdr:colOff>
                <xdr:row>8</xdr:row>
                <xdr:rowOff>19050</xdr:rowOff>
              </from>
              <to>
                <xdr:col>2</xdr:col>
                <xdr:colOff>409575</xdr:colOff>
                <xdr:row>8</xdr:row>
                <xdr:rowOff>142875</xdr:rowOff>
              </to>
            </anchor>
          </controlPr>
        </control>
      </mc:Choice>
      <mc:Fallback>
        <control shapeId="1036" r:id="rId10" name="VarErr6"/>
      </mc:Fallback>
    </mc:AlternateContent>
    <mc:AlternateContent xmlns:mc="http://schemas.openxmlformats.org/markup-compatibility/2006">
      <mc:Choice Requires="x14">
        <control shapeId="1037" r:id="rId11" name="VarErr7">
          <controlPr defaultSize="0" autoLine="0" r:id="rId5">
            <anchor moveWithCells="1">
              <from>
                <xdr:col>2</xdr:col>
                <xdr:colOff>247650</xdr:colOff>
                <xdr:row>9</xdr:row>
                <xdr:rowOff>19050</xdr:rowOff>
              </from>
              <to>
                <xdr:col>2</xdr:col>
                <xdr:colOff>409575</xdr:colOff>
                <xdr:row>9</xdr:row>
                <xdr:rowOff>142875</xdr:rowOff>
              </to>
            </anchor>
          </controlPr>
        </control>
      </mc:Choice>
      <mc:Fallback>
        <control shapeId="1037" r:id="rId11" name="VarErr7"/>
      </mc:Fallback>
    </mc:AlternateContent>
    <mc:AlternateContent xmlns:mc="http://schemas.openxmlformats.org/markup-compatibility/2006">
      <mc:Choice Requires="x14">
        <control shapeId="1038" r:id="rId12" name="VarErr8">
          <controlPr defaultSize="0" autoLine="0" r:id="rId5">
            <anchor moveWithCells="1">
              <from>
                <xdr:col>2</xdr:col>
                <xdr:colOff>247650</xdr:colOff>
                <xdr:row>10</xdr:row>
                <xdr:rowOff>19050</xdr:rowOff>
              </from>
              <to>
                <xdr:col>2</xdr:col>
                <xdr:colOff>409575</xdr:colOff>
                <xdr:row>10</xdr:row>
                <xdr:rowOff>142875</xdr:rowOff>
              </to>
            </anchor>
          </controlPr>
        </control>
      </mc:Choice>
      <mc:Fallback>
        <control shapeId="1038" r:id="rId12" name="VarErr8"/>
      </mc:Fallback>
    </mc:AlternateContent>
    <mc:AlternateContent xmlns:mc="http://schemas.openxmlformats.org/markup-compatibility/2006">
      <mc:Choice Requires="x14">
        <control shapeId="1039" r:id="rId13" name="VarErr9">
          <controlPr defaultSize="0" autoLine="0" r:id="rId5">
            <anchor moveWithCells="1">
              <from>
                <xdr:col>2</xdr:col>
                <xdr:colOff>247650</xdr:colOff>
                <xdr:row>11</xdr:row>
                <xdr:rowOff>19050</xdr:rowOff>
              </from>
              <to>
                <xdr:col>2</xdr:col>
                <xdr:colOff>409575</xdr:colOff>
                <xdr:row>11</xdr:row>
                <xdr:rowOff>142875</xdr:rowOff>
              </to>
            </anchor>
          </controlPr>
        </control>
      </mc:Choice>
      <mc:Fallback>
        <control shapeId="1039" r:id="rId13" name="VarErr9"/>
      </mc:Fallback>
    </mc:AlternateContent>
    <mc:AlternateContent xmlns:mc="http://schemas.openxmlformats.org/markup-compatibility/2006">
      <mc:Choice Requires="x14">
        <control shapeId="1040" r:id="rId14" name="VarErr10">
          <controlPr defaultSize="0" autoLine="0" r:id="rId5">
            <anchor moveWithCells="1">
              <from>
                <xdr:col>2</xdr:col>
                <xdr:colOff>247650</xdr:colOff>
                <xdr:row>12</xdr:row>
                <xdr:rowOff>19050</xdr:rowOff>
              </from>
              <to>
                <xdr:col>2</xdr:col>
                <xdr:colOff>409575</xdr:colOff>
                <xdr:row>12</xdr:row>
                <xdr:rowOff>142875</xdr:rowOff>
              </to>
            </anchor>
          </controlPr>
        </control>
      </mc:Choice>
      <mc:Fallback>
        <control shapeId="1040" r:id="rId14" name="VarErr10"/>
      </mc:Fallback>
    </mc:AlternateContent>
    <mc:AlternateContent xmlns:mc="http://schemas.openxmlformats.org/markup-compatibility/2006">
      <mc:Choice Requires="x14">
        <control shapeId="1041" r:id="rId15" name="VarErr11">
          <controlPr defaultSize="0" autoLine="0" r:id="rId5">
            <anchor moveWithCells="1">
              <from>
                <xdr:col>2</xdr:col>
                <xdr:colOff>247650</xdr:colOff>
                <xdr:row>13</xdr:row>
                <xdr:rowOff>19050</xdr:rowOff>
              </from>
              <to>
                <xdr:col>2</xdr:col>
                <xdr:colOff>409575</xdr:colOff>
                <xdr:row>13</xdr:row>
                <xdr:rowOff>142875</xdr:rowOff>
              </to>
            </anchor>
          </controlPr>
        </control>
      </mc:Choice>
      <mc:Fallback>
        <control shapeId="1041" r:id="rId15" name="VarErr11"/>
      </mc:Fallback>
    </mc:AlternateContent>
    <mc:AlternateContent xmlns:mc="http://schemas.openxmlformats.org/markup-compatibility/2006">
      <mc:Choice Requires="x14">
        <control shapeId="1042" r:id="rId16" name="VarErr12">
          <controlPr defaultSize="0" autoLine="0" r:id="rId5">
            <anchor moveWithCells="1">
              <from>
                <xdr:col>2</xdr:col>
                <xdr:colOff>247650</xdr:colOff>
                <xdr:row>14</xdr:row>
                <xdr:rowOff>19050</xdr:rowOff>
              </from>
              <to>
                <xdr:col>2</xdr:col>
                <xdr:colOff>409575</xdr:colOff>
                <xdr:row>14</xdr:row>
                <xdr:rowOff>142875</xdr:rowOff>
              </to>
            </anchor>
          </controlPr>
        </control>
      </mc:Choice>
      <mc:Fallback>
        <control shapeId="1042" r:id="rId16" name="VarErr12"/>
      </mc:Fallback>
    </mc:AlternateContent>
    <mc:AlternateContent xmlns:mc="http://schemas.openxmlformats.org/markup-compatibility/2006">
      <mc:Choice Requires="x14">
        <control shapeId="1043" r:id="rId17" name="VarErr13">
          <controlPr defaultSize="0" autoLine="0" r:id="rId5">
            <anchor moveWithCells="1">
              <from>
                <xdr:col>2</xdr:col>
                <xdr:colOff>247650</xdr:colOff>
                <xdr:row>15</xdr:row>
                <xdr:rowOff>19050</xdr:rowOff>
              </from>
              <to>
                <xdr:col>2</xdr:col>
                <xdr:colOff>409575</xdr:colOff>
                <xdr:row>15</xdr:row>
                <xdr:rowOff>142875</xdr:rowOff>
              </to>
            </anchor>
          </controlPr>
        </control>
      </mc:Choice>
      <mc:Fallback>
        <control shapeId="1043" r:id="rId17" name="VarErr13"/>
      </mc:Fallback>
    </mc:AlternateContent>
    <mc:AlternateContent xmlns:mc="http://schemas.openxmlformats.org/markup-compatibility/2006">
      <mc:Choice Requires="x14">
        <control shapeId="1044" r:id="rId18" name="VarErr14">
          <controlPr defaultSize="0" autoLine="0" r:id="rId5">
            <anchor moveWithCells="1">
              <from>
                <xdr:col>2</xdr:col>
                <xdr:colOff>247650</xdr:colOff>
                <xdr:row>16</xdr:row>
                <xdr:rowOff>19050</xdr:rowOff>
              </from>
              <to>
                <xdr:col>2</xdr:col>
                <xdr:colOff>409575</xdr:colOff>
                <xdr:row>16</xdr:row>
                <xdr:rowOff>142875</xdr:rowOff>
              </to>
            </anchor>
          </controlPr>
        </control>
      </mc:Choice>
      <mc:Fallback>
        <control shapeId="1044" r:id="rId18" name="VarErr14"/>
      </mc:Fallback>
    </mc:AlternateContent>
    <mc:AlternateContent xmlns:mc="http://schemas.openxmlformats.org/markup-compatibility/2006">
      <mc:Choice Requires="x14">
        <control shapeId="1045" r:id="rId19" name="VarErr15">
          <controlPr defaultSize="0" autoLine="0" r:id="rId5">
            <anchor moveWithCells="1">
              <from>
                <xdr:col>2</xdr:col>
                <xdr:colOff>247650</xdr:colOff>
                <xdr:row>17</xdr:row>
                <xdr:rowOff>19050</xdr:rowOff>
              </from>
              <to>
                <xdr:col>2</xdr:col>
                <xdr:colOff>409575</xdr:colOff>
                <xdr:row>17</xdr:row>
                <xdr:rowOff>142875</xdr:rowOff>
              </to>
            </anchor>
          </controlPr>
        </control>
      </mc:Choice>
      <mc:Fallback>
        <control shapeId="1045" r:id="rId19" name="VarErr15"/>
      </mc:Fallback>
    </mc:AlternateContent>
    <mc:AlternateContent xmlns:mc="http://schemas.openxmlformats.org/markup-compatibility/2006">
      <mc:Choice Requires="x14">
        <control shapeId="1046" r:id="rId20" name="VarErr16">
          <controlPr defaultSize="0" autoLine="0" r:id="rId5">
            <anchor moveWithCells="1">
              <from>
                <xdr:col>2</xdr:col>
                <xdr:colOff>247650</xdr:colOff>
                <xdr:row>18</xdr:row>
                <xdr:rowOff>19050</xdr:rowOff>
              </from>
              <to>
                <xdr:col>2</xdr:col>
                <xdr:colOff>409575</xdr:colOff>
                <xdr:row>18</xdr:row>
                <xdr:rowOff>142875</xdr:rowOff>
              </to>
            </anchor>
          </controlPr>
        </control>
      </mc:Choice>
      <mc:Fallback>
        <control shapeId="1046" r:id="rId20" name="VarErr16"/>
      </mc:Fallback>
    </mc:AlternateContent>
    <mc:AlternateContent xmlns:mc="http://schemas.openxmlformats.org/markup-compatibility/2006">
      <mc:Choice Requires="x14">
        <control shapeId="1047" r:id="rId21" name="VarErr17">
          <controlPr defaultSize="0" autoLine="0" r:id="rId5">
            <anchor moveWithCells="1">
              <from>
                <xdr:col>2</xdr:col>
                <xdr:colOff>247650</xdr:colOff>
                <xdr:row>19</xdr:row>
                <xdr:rowOff>19050</xdr:rowOff>
              </from>
              <to>
                <xdr:col>2</xdr:col>
                <xdr:colOff>409575</xdr:colOff>
                <xdr:row>19</xdr:row>
                <xdr:rowOff>142875</xdr:rowOff>
              </to>
            </anchor>
          </controlPr>
        </control>
      </mc:Choice>
      <mc:Fallback>
        <control shapeId="1047" r:id="rId21" name="VarErr17"/>
      </mc:Fallback>
    </mc:AlternateContent>
    <mc:AlternateContent xmlns:mc="http://schemas.openxmlformats.org/markup-compatibility/2006">
      <mc:Choice Requires="x14">
        <control shapeId="1048" r:id="rId22" name="VarErr18">
          <controlPr defaultSize="0" autoLine="0" r:id="rId5">
            <anchor moveWithCells="1">
              <from>
                <xdr:col>2</xdr:col>
                <xdr:colOff>247650</xdr:colOff>
                <xdr:row>20</xdr:row>
                <xdr:rowOff>19050</xdr:rowOff>
              </from>
              <to>
                <xdr:col>2</xdr:col>
                <xdr:colOff>409575</xdr:colOff>
                <xdr:row>20</xdr:row>
                <xdr:rowOff>142875</xdr:rowOff>
              </to>
            </anchor>
          </controlPr>
        </control>
      </mc:Choice>
      <mc:Fallback>
        <control shapeId="1048" r:id="rId22" name="VarErr18"/>
      </mc:Fallback>
    </mc:AlternateContent>
    <mc:AlternateContent xmlns:mc="http://schemas.openxmlformats.org/markup-compatibility/2006">
      <mc:Choice Requires="x14">
        <control shapeId="1049" r:id="rId23" name="VarErr19">
          <controlPr defaultSize="0" autoLine="0" r:id="rId5">
            <anchor moveWithCells="1">
              <from>
                <xdr:col>2</xdr:col>
                <xdr:colOff>247650</xdr:colOff>
                <xdr:row>21</xdr:row>
                <xdr:rowOff>19050</xdr:rowOff>
              </from>
              <to>
                <xdr:col>2</xdr:col>
                <xdr:colOff>409575</xdr:colOff>
                <xdr:row>21</xdr:row>
                <xdr:rowOff>142875</xdr:rowOff>
              </to>
            </anchor>
          </controlPr>
        </control>
      </mc:Choice>
      <mc:Fallback>
        <control shapeId="1049" r:id="rId23" name="VarErr19"/>
      </mc:Fallback>
    </mc:AlternateContent>
    <mc:AlternateContent xmlns:mc="http://schemas.openxmlformats.org/markup-compatibility/2006">
      <mc:Choice Requires="x14">
        <control shapeId="1050" r:id="rId24" name="VarErr20">
          <controlPr defaultSize="0" autoLine="0" r:id="rId5">
            <anchor moveWithCells="1">
              <from>
                <xdr:col>2</xdr:col>
                <xdr:colOff>247650</xdr:colOff>
                <xdr:row>22</xdr:row>
                <xdr:rowOff>19050</xdr:rowOff>
              </from>
              <to>
                <xdr:col>2</xdr:col>
                <xdr:colOff>409575</xdr:colOff>
                <xdr:row>22</xdr:row>
                <xdr:rowOff>142875</xdr:rowOff>
              </to>
            </anchor>
          </controlPr>
        </control>
      </mc:Choice>
      <mc:Fallback>
        <control shapeId="1050" r:id="rId24" name="VarErr20"/>
      </mc:Fallback>
    </mc:AlternateContent>
    <mc:AlternateContent xmlns:mc="http://schemas.openxmlformats.org/markup-compatibility/2006">
      <mc:Choice Requires="x14">
        <control shapeId="1051" r:id="rId25" name="VarErr21">
          <controlPr defaultSize="0" autoLine="0" r:id="rId5">
            <anchor moveWithCells="1">
              <from>
                <xdr:col>2</xdr:col>
                <xdr:colOff>247650</xdr:colOff>
                <xdr:row>23</xdr:row>
                <xdr:rowOff>19050</xdr:rowOff>
              </from>
              <to>
                <xdr:col>2</xdr:col>
                <xdr:colOff>409575</xdr:colOff>
                <xdr:row>23</xdr:row>
                <xdr:rowOff>142875</xdr:rowOff>
              </to>
            </anchor>
          </controlPr>
        </control>
      </mc:Choice>
      <mc:Fallback>
        <control shapeId="1051" r:id="rId25" name="VarErr21"/>
      </mc:Fallback>
    </mc:AlternateContent>
    <mc:AlternateContent xmlns:mc="http://schemas.openxmlformats.org/markup-compatibility/2006">
      <mc:Choice Requires="x14">
        <control shapeId="1052" r:id="rId26" name="VarErr22">
          <controlPr defaultSize="0" autoLine="0" r:id="rId5">
            <anchor moveWithCells="1">
              <from>
                <xdr:col>2</xdr:col>
                <xdr:colOff>247650</xdr:colOff>
                <xdr:row>24</xdr:row>
                <xdr:rowOff>19050</xdr:rowOff>
              </from>
              <to>
                <xdr:col>2</xdr:col>
                <xdr:colOff>409575</xdr:colOff>
                <xdr:row>24</xdr:row>
                <xdr:rowOff>142875</xdr:rowOff>
              </to>
            </anchor>
          </controlPr>
        </control>
      </mc:Choice>
      <mc:Fallback>
        <control shapeId="1052" r:id="rId26" name="VarErr22"/>
      </mc:Fallback>
    </mc:AlternateContent>
    <mc:AlternateContent xmlns:mc="http://schemas.openxmlformats.org/markup-compatibility/2006">
      <mc:Choice Requires="x14">
        <control shapeId="1053" r:id="rId27" name="VarErr23">
          <controlPr defaultSize="0" autoLine="0" r:id="rId5">
            <anchor moveWithCells="1">
              <from>
                <xdr:col>2</xdr:col>
                <xdr:colOff>247650</xdr:colOff>
                <xdr:row>25</xdr:row>
                <xdr:rowOff>19050</xdr:rowOff>
              </from>
              <to>
                <xdr:col>2</xdr:col>
                <xdr:colOff>409575</xdr:colOff>
                <xdr:row>25</xdr:row>
                <xdr:rowOff>142875</xdr:rowOff>
              </to>
            </anchor>
          </controlPr>
        </control>
      </mc:Choice>
      <mc:Fallback>
        <control shapeId="1053" r:id="rId27" name="VarErr23"/>
      </mc:Fallback>
    </mc:AlternateContent>
    <mc:AlternateContent xmlns:mc="http://schemas.openxmlformats.org/markup-compatibility/2006">
      <mc:Choice Requires="x14">
        <control shapeId="1054" r:id="rId28" name="VarErr24">
          <controlPr defaultSize="0" autoLine="0" r:id="rId5">
            <anchor moveWithCells="1">
              <from>
                <xdr:col>2</xdr:col>
                <xdr:colOff>247650</xdr:colOff>
                <xdr:row>26</xdr:row>
                <xdr:rowOff>19050</xdr:rowOff>
              </from>
              <to>
                <xdr:col>2</xdr:col>
                <xdr:colOff>409575</xdr:colOff>
                <xdr:row>26</xdr:row>
                <xdr:rowOff>142875</xdr:rowOff>
              </to>
            </anchor>
          </controlPr>
        </control>
      </mc:Choice>
      <mc:Fallback>
        <control shapeId="1054" r:id="rId28" name="VarErr24"/>
      </mc:Fallback>
    </mc:AlternateContent>
    <mc:AlternateContent xmlns:mc="http://schemas.openxmlformats.org/markup-compatibility/2006">
      <mc:Choice Requires="x14">
        <control shapeId="1055" r:id="rId29" name="VarErr25">
          <controlPr defaultSize="0" autoLine="0" r:id="rId5">
            <anchor moveWithCells="1">
              <from>
                <xdr:col>2</xdr:col>
                <xdr:colOff>247650</xdr:colOff>
                <xdr:row>27</xdr:row>
                <xdr:rowOff>19050</xdr:rowOff>
              </from>
              <to>
                <xdr:col>2</xdr:col>
                <xdr:colOff>409575</xdr:colOff>
                <xdr:row>27</xdr:row>
                <xdr:rowOff>142875</xdr:rowOff>
              </to>
            </anchor>
          </controlPr>
        </control>
      </mc:Choice>
      <mc:Fallback>
        <control shapeId="1055" r:id="rId29" name="VarErr25"/>
      </mc:Fallback>
    </mc:AlternateContent>
    <mc:AlternateContent xmlns:mc="http://schemas.openxmlformats.org/markup-compatibility/2006">
      <mc:Choice Requires="x14">
        <control shapeId="1056" r:id="rId30" name="VarErr26">
          <controlPr defaultSize="0" autoLine="0" r:id="rId5">
            <anchor moveWithCells="1">
              <from>
                <xdr:col>2</xdr:col>
                <xdr:colOff>247650</xdr:colOff>
                <xdr:row>28</xdr:row>
                <xdr:rowOff>19050</xdr:rowOff>
              </from>
              <to>
                <xdr:col>2</xdr:col>
                <xdr:colOff>409575</xdr:colOff>
                <xdr:row>28</xdr:row>
                <xdr:rowOff>142875</xdr:rowOff>
              </to>
            </anchor>
          </controlPr>
        </control>
      </mc:Choice>
      <mc:Fallback>
        <control shapeId="1056" r:id="rId30" name="VarErr26"/>
      </mc:Fallback>
    </mc:AlternateContent>
    <mc:AlternateContent xmlns:mc="http://schemas.openxmlformats.org/markup-compatibility/2006">
      <mc:Choice Requires="x14">
        <control shapeId="1057" r:id="rId31" name="VarErr27">
          <controlPr defaultSize="0" autoLine="0" r:id="rId5">
            <anchor moveWithCells="1">
              <from>
                <xdr:col>2</xdr:col>
                <xdr:colOff>247650</xdr:colOff>
                <xdr:row>29</xdr:row>
                <xdr:rowOff>19050</xdr:rowOff>
              </from>
              <to>
                <xdr:col>2</xdr:col>
                <xdr:colOff>409575</xdr:colOff>
                <xdr:row>29</xdr:row>
                <xdr:rowOff>142875</xdr:rowOff>
              </to>
            </anchor>
          </controlPr>
        </control>
      </mc:Choice>
      <mc:Fallback>
        <control shapeId="1057" r:id="rId31" name="VarErr27"/>
      </mc:Fallback>
    </mc:AlternateContent>
    <mc:AlternateContent xmlns:mc="http://schemas.openxmlformats.org/markup-compatibility/2006">
      <mc:Choice Requires="x14">
        <control shapeId="1058" r:id="rId32" name="VarErr28">
          <controlPr defaultSize="0" autoLine="0" r:id="rId5">
            <anchor moveWithCells="1">
              <from>
                <xdr:col>2</xdr:col>
                <xdr:colOff>247650</xdr:colOff>
                <xdr:row>30</xdr:row>
                <xdr:rowOff>19050</xdr:rowOff>
              </from>
              <to>
                <xdr:col>2</xdr:col>
                <xdr:colOff>409575</xdr:colOff>
                <xdr:row>30</xdr:row>
                <xdr:rowOff>142875</xdr:rowOff>
              </to>
            </anchor>
          </controlPr>
        </control>
      </mc:Choice>
      <mc:Fallback>
        <control shapeId="1058" r:id="rId32" name="VarErr28"/>
      </mc:Fallback>
    </mc:AlternateContent>
    <mc:AlternateContent xmlns:mc="http://schemas.openxmlformats.org/markup-compatibility/2006">
      <mc:Choice Requires="x14">
        <control shapeId="1059" r:id="rId33" name="VarErr29">
          <controlPr defaultSize="0" autoLine="0" r:id="rId5">
            <anchor moveWithCells="1">
              <from>
                <xdr:col>2</xdr:col>
                <xdr:colOff>247650</xdr:colOff>
                <xdr:row>31</xdr:row>
                <xdr:rowOff>19050</xdr:rowOff>
              </from>
              <to>
                <xdr:col>2</xdr:col>
                <xdr:colOff>409575</xdr:colOff>
                <xdr:row>31</xdr:row>
                <xdr:rowOff>142875</xdr:rowOff>
              </to>
            </anchor>
          </controlPr>
        </control>
      </mc:Choice>
      <mc:Fallback>
        <control shapeId="1059" r:id="rId33" name="VarErr29"/>
      </mc:Fallback>
    </mc:AlternateContent>
    <mc:AlternateContent xmlns:mc="http://schemas.openxmlformats.org/markup-compatibility/2006">
      <mc:Choice Requires="x14">
        <control shapeId="1060" r:id="rId34" name="VarErr30">
          <controlPr defaultSize="0" autoLine="0" r:id="rId5">
            <anchor moveWithCells="1">
              <from>
                <xdr:col>2</xdr:col>
                <xdr:colOff>247650</xdr:colOff>
                <xdr:row>32</xdr:row>
                <xdr:rowOff>19050</xdr:rowOff>
              </from>
              <to>
                <xdr:col>2</xdr:col>
                <xdr:colOff>409575</xdr:colOff>
                <xdr:row>32</xdr:row>
                <xdr:rowOff>142875</xdr:rowOff>
              </to>
            </anchor>
          </controlPr>
        </control>
      </mc:Choice>
      <mc:Fallback>
        <control shapeId="1060" r:id="rId34" name="VarErr30"/>
      </mc:Fallback>
    </mc:AlternateContent>
    <mc:AlternateContent xmlns:mc="http://schemas.openxmlformats.org/markup-compatibility/2006">
      <mc:Choice Requires="x14">
        <control shapeId="1061" r:id="rId35" name="VarErr31">
          <controlPr defaultSize="0" autoLine="0" r:id="rId5">
            <anchor moveWithCells="1">
              <from>
                <xdr:col>2</xdr:col>
                <xdr:colOff>247650</xdr:colOff>
                <xdr:row>33</xdr:row>
                <xdr:rowOff>19050</xdr:rowOff>
              </from>
              <to>
                <xdr:col>2</xdr:col>
                <xdr:colOff>409575</xdr:colOff>
                <xdr:row>33</xdr:row>
                <xdr:rowOff>142875</xdr:rowOff>
              </to>
            </anchor>
          </controlPr>
        </control>
      </mc:Choice>
      <mc:Fallback>
        <control shapeId="1061" r:id="rId35" name="VarErr31"/>
      </mc:Fallback>
    </mc:AlternateContent>
    <mc:AlternateContent xmlns:mc="http://schemas.openxmlformats.org/markup-compatibility/2006">
      <mc:Choice Requires="x14">
        <control shapeId="1062" r:id="rId36" name="VarErr32">
          <controlPr defaultSize="0" autoLine="0" r:id="rId5">
            <anchor moveWithCells="1">
              <from>
                <xdr:col>2</xdr:col>
                <xdr:colOff>247650</xdr:colOff>
                <xdr:row>34</xdr:row>
                <xdr:rowOff>19050</xdr:rowOff>
              </from>
              <to>
                <xdr:col>2</xdr:col>
                <xdr:colOff>409575</xdr:colOff>
                <xdr:row>34</xdr:row>
                <xdr:rowOff>142875</xdr:rowOff>
              </to>
            </anchor>
          </controlPr>
        </control>
      </mc:Choice>
      <mc:Fallback>
        <control shapeId="1062" r:id="rId36" name="VarErr32"/>
      </mc:Fallback>
    </mc:AlternateContent>
    <mc:AlternateContent xmlns:mc="http://schemas.openxmlformats.org/markup-compatibility/2006">
      <mc:Choice Requires="x14">
        <control shapeId="1063" r:id="rId37" name="VarErr33">
          <controlPr defaultSize="0" autoLine="0" r:id="rId5">
            <anchor moveWithCells="1">
              <from>
                <xdr:col>2</xdr:col>
                <xdr:colOff>247650</xdr:colOff>
                <xdr:row>35</xdr:row>
                <xdr:rowOff>19050</xdr:rowOff>
              </from>
              <to>
                <xdr:col>2</xdr:col>
                <xdr:colOff>409575</xdr:colOff>
                <xdr:row>35</xdr:row>
                <xdr:rowOff>142875</xdr:rowOff>
              </to>
            </anchor>
          </controlPr>
        </control>
      </mc:Choice>
      <mc:Fallback>
        <control shapeId="1063" r:id="rId37" name="VarErr33"/>
      </mc:Fallback>
    </mc:AlternateContent>
    <mc:AlternateContent xmlns:mc="http://schemas.openxmlformats.org/markup-compatibility/2006">
      <mc:Choice Requires="x14">
        <control shapeId="1064" r:id="rId38" name="VarErr34">
          <controlPr defaultSize="0" autoLine="0" r:id="rId5">
            <anchor moveWithCells="1">
              <from>
                <xdr:col>2</xdr:col>
                <xdr:colOff>247650</xdr:colOff>
                <xdr:row>36</xdr:row>
                <xdr:rowOff>19050</xdr:rowOff>
              </from>
              <to>
                <xdr:col>2</xdr:col>
                <xdr:colOff>409575</xdr:colOff>
                <xdr:row>36</xdr:row>
                <xdr:rowOff>142875</xdr:rowOff>
              </to>
            </anchor>
          </controlPr>
        </control>
      </mc:Choice>
      <mc:Fallback>
        <control shapeId="1064" r:id="rId38" name="VarErr34"/>
      </mc:Fallback>
    </mc:AlternateContent>
    <mc:AlternateContent xmlns:mc="http://schemas.openxmlformats.org/markup-compatibility/2006">
      <mc:Choice Requires="x14">
        <control shapeId="1065" r:id="rId39" name="VarErr35">
          <controlPr defaultSize="0" autoLine="0" r:id="rId5">
            <anchor moveWithCells="1">
              <from>
                <xdr:col>2</xdr:col>
                <xdr:colOff>247650</xdr:colOff>
                <xdr:row>37</xdr:row>
                <xdr:rowOff>19050</xdr:rowOff>
              </from>
              <to>
                <xdr:col>2</xdr:col>
                <xdr:colOff>409575</xdr:colOff>
                <xdr:row>37</xdr:row>
                <xdr:rowOff>142875</xdr:rowOff>
              </to>
            </anchor>
          </controlPr>
        </control>
      </mc:Choice>
      <mc:Fallback>
        <control shapeId="1065" r:id="rId39" name="VarErr35"/>
      </mc:Fallback>
    </mc:AlternateContent>
    <mc:AlternateContent xmlns:mc="http://schemas.openxmlformats.org/markup-compatibility/2006">
      <mc:Choice Requires="x14">
        <control shapeId="1066" r:id="rId40" name="VarErr36">
          <controlPr defaultSize="0" autoLine="0" r:id="rId5">
            <anchor moveWithCells="1">
              <from>
                <xdr:col>2</xdr:col>
                <xdr:colOff>247650</xdr:colOff>
                <xdr:row>38</xdr:row>
                <xdr:rowOff>19050</xdr:rowOff>
              </from>
              <to>
                <xdr:col>2</xdr:col>
                <xdr:colOff>409575</xdr:colOff>
                <xdr:row>38</xdr:row>
                <xdr:rowOff>142875</xdr:rowOff>
              </to>
            </anchor>
          </controlPr>
        </control>
      </mc:Choice>
      <mc:Fallback>
        <control shapeId="1066" r:id="rId40" name="VarErr36"/>
      </mc:Fallback>
    </mc:AlternateContent>
    <mc:AlternateContent xmlns:mc="http://schemas.openxmlformats.org/markup-compatibility/2006">
      <mc:Choice Requires="x14">
        <control shapeId="1067" r:id="rId41" name="VarErr37">
          <controlPr defaultSize="0" autoLine="0" r:id="rId5">
            <anchor moveWithCells="1">
              <from>
                <xdr:col>2</xdr:col>
                <xdr:colOff>247650</xdr:colOff>
                <xdr:row>39</xdr:row>
                <xdr:rowOff>19050</xdr:rowOff>
              </from>
              <to>
                <xdr:col>2</xdr:col>
                <xdr:colOff>409575</xdr:colOff>
                <xdr:row>39</xdr:row>
                <xdr:rowOff>142875</xdr:rowOff>
              </to>
            </anchor>
          </controlPr>
        </control>
      </mc:Choice>
      <mc:Fallback>
        <control shapeId="1067" r:id="rId41" name="VarErr37"/>
      </mc:Fallback>
    </mc:AlternateContent>
    <mc:AlternateContent xmlns:mc="http://schemas.openxmlformats.org/markup-compatibility/2006">
      <mc:Choice Requires="x14">
        <control shapeId="1068" r:id="rId42" name="VarErr38">
          <controlPr defaultSize="0" autoLine="0" r:id="rId5">
            <anchor moveWithCells="1">
              <from>
                <xdr:col>2</xdr:col>
                <xdr:colOff>247650</xdr:colOff>
                <xdr:row>40</xdr:row>
                <xdr:rowOff>19050</xdr:rowOff>
              </from>
              <to>
                <xdr:col>2</xdr:col>
                <xdr:colOff>409575</xdr:colOff>
                <xdr:row>40</xdr:row>
                <xdr:rowOff>142875</xdr:rowOff>
              </to>
            </anchor>
          </controlPr>
        </control>
      </mc:Choice>
      <mc:Fallback>
        <control shapeId="1068" r:id="rId42" name="VarErr38"/>
      </mc:Fallback>
    </mc:AlternateContent>
    <mc:AlternateContent xmlns:mc="http://schemas.openxmlformats.org/markup-compatibility/2006">
      <mc:Choice Requires="x14">
        <control shapeId="1069" r:id="rId43" name="VarErr39">
          <controlPr defaultSize="0" autoLine="0" r:id="rId5">
            <anchor moveWithCells="1">
              <from>
                <xdr:col>2</xdr:col>
                <xdr:colOff>247650</xdr:colOff>
                <xdr:row>41</xdr:row>
                <xdr:rowOff>19050</xdr:rowOff>
              </from>
              <to>
                <xdr:col>2</xdr:col>
                <xdr:colOff>409575</xdr:colOff>
                <xdr:row>41</xdr:row>
                <xdr:rowOff>142875</xdr:rowOff>
              </to>
            </anchor>
          </controlPr>
        </control>
      </mc:Choice>
      <mc:Fallback>
        <control shapeId="1069" r:id="rId43" name="VarErr39"/>
      </mc:Fallback>
    </mc:AlternateContent>
    <mc:AlternateContent xmlns:mc="http://schemas.openxmlformats.org/markup-compatibility/2006">
      <mc:Choice Requires="x14">
        <control shapeId="1070" r:id="rId44" name="VarErr40">
          <controlPr defaultSize="0" autoLine="0" r:id="rId5">
            <anchor moveWithCells="1">
              <from>
                <xdr:col>2</xdr:col>
                <xdr:colOff>247650</xdr:colOff>
                <xdr:row>42</xdr:row>
                <xdr:rowOff>19050</xdr:rowOff>
              </from>
              <to>
                <xdr:col>2</xdr:col>
                <xdr:colOff>409575</xdr:colOff>
                <xdr:row>42</xdr:row>
                <xdr:rowOff>142875</xdr:rowOff>
              </to>
            </anchor>
          </controlPr>
        </control>
      </mc:Choice>
      <mc:Fallback>
        <control shapeId="1070" r:id="rId44" name="VarErr40"/>
      </mc:Fallback>
    </mc:AlternateContent>
    <mc:AlternateContent xmlns:mc="http://schemas.openxmlformats.org/markup-compatibility/2006">
      <mc:Choice Requires="x14">
        <control shapeId="1071" r:id="rId45" name="VarErr41">
          <controlPr defaultSize="0" autoLine="0" r:id="rId5">
            <anchor moveWithCells="1">
              <from>
                <xdr:col>2</xdr:col>
                <xdr:colOff>247650</xdr:colOff>
                <xdr:row>43</xdr:row>
                <xdr:rowOff>19050</xdr:rowOff>
              </from>
              <to>
                <xdr:col>2</xdr:col>
                <xdr:colOff>409575</xdr:colOff>
                <xdr:row>43</xdr:row>
                <xdr:rowOff>142875</xdr:rowOff>
              </to>
            </anchor>
          </controlPr>
        </control>
      </mc:Choice>
      <mc:Fallback>
        <control shapeId="1071" r:id="rId45" name="VarErr41"/>
      </mc:Fallback>
    </mc:AlternateContent>
    <mc:AlternateContent xmlns:mc="http://schemas.openxmlformats.org/markup-compatibility/2006">
      <mc:Choice Requires="x14">
        <control shapeId="1072" r:id="rId46" name="VarErr42">
          <controlPr defaultSize="0" autoLine="0" r:id="rId5">
            <anchor moveWithCells="1">
              <from>
                <xdr:col>2</xdr:col>
                <xdr:colOff>247650</xdr:colOff>
                <xdr:row>44</xdr:row>
                <xdr:rowOff>19050</xdr:rowOff>
              </from>
              <to>
                <xdr:col>2</xdr:col>
                <xdr:colOff>409575</xdr:colOff>
                <xdr:row>44</xdr:row>
                <xdr:rowOff>142875</xdr:rowOff>
              </to>
            </anchor>
          </controlPr>
        </control>
      </mc:Choice>
      <mc:Fallback>
        <control shapeId="1072" r:id="rId46" name="VarErr42"/>
      </mc:Fallback>
    </mc:AlternateContent>
    <mc:AlternateContent xmlns:mc="http://schemas.openxmlformats.org/markup-compatibility/2006">
      <mc:Choice Requires="x14">
        <control shapeId="1073" r:id="rId47" name="VarErr43">
          <controlPr defaultSize="0" autoLine="0" r:id="rId5">
            <anchor moveWithCells="1">
              <from>
                <xdr:col>2</xdr:col>
                <xdr:colOff>247650</xdr:colOff>
                <xdr:row>45</xdr:row>
                <xdr:rowOff>19050</xdr:rowOff>
              </from>
              <to>
                <xdr:col>2</xdr:col>
                <xdr:colOff>409575</xdr:colOff>
                <xdr:row>45</xdr:row>
                <xdr:rowOff>142875</xdr:rowOff>
              </to>
            </anchor>
          </controlPr>
        </control>
      </mc:Choice>
      <mc:Fallback>
        <control shapeId="1073" r:id="rId47" name="VarErr43"/>
      </mc:Fallback>
    </mc:AlternateContent>
    <mc:AlternateContent xmlns:mc="http://schemas.openxmlformats.org/markup-compatibility/2006">
      <mc:Choice Requires="x14">
        <control shapeId="1074" r:id="rId48" name="VarErr44">
          <controlPr defaultSize="0" autoLine="0" r:id="rId5">
            <anchor moveWithCells="1">
              <from>
                <xdr:col>2</xdr:col>
                <xdr:colOff>247650</xdr:colOff>
                <xdr:row>46</xdr:row>
                <xdr:rowOff>19050</xdr:rowOff>
              </from>
              <to>
                <xdr:col>2</xdr:col>
                <xdr:colOff>409575</xdr:colOff>
                <xdr:row>46</xdr:row>
                <xdr:rowOff>142875</xdr:rowOff>
              </to>
            </anchor>
          </controlPr>
        </control>
      </mc:Choice>
      <mc:Fallback>
        <control shapeId="1074" r:id="rId48" name="VarErr44"/>
      </mc:Fallback>
    </mc:AlternateContent>
    <mc:AlternateContent xmlns:mc="http://schemas.openxmlformats.org/markup-compatibility/2006">
      <mc:Choice Requires="x14">
        <control shapeId="1075" r:id="rId49" name="VarErr45">
          <controlPr defaultSize="0" autoLine="0" r:id="rId5">
            <anchor moveWithCells="1">
              <from>
                <xdr:col>2</xdr:col>
                <xdr:colOff>247650</xdr:colOff>
                <xdr:row>47</xdr:row>
                <xdr:rowOff>19050</xdr:rowOff>
              </from>
              <to>
                <xdr:col>2</xdr:col>
                <xdr:colOff>409575</xdr:colOff>
                <xdr:row>47</xdr:row>
                <xdr:rowOff>142875</xdr:rowOff>
              </to>
            </anchor>
          </controlPr>
        </control>
      </mc:Choice>
      <mc:Fallback>
        <control shapeId="1075" r:id="rId49" name="VarErr45"/>
      </mc:Fallback>
    </mc:AlternateContent>
    <mc:AlternateContent xmlns:mc="http://schemas.openxmlformats.org/markup-compatibility/2006">
      <mc:Choice Requires="x14">
        <control shapeId="1076" r:id="rId50" name="VarErr46">
          <controlPr defaultSize="0" autoLine="0" r:id="rId5">
            <anchor moveWithCells="1">
              <from>
                <xdr:col>2</xdr:col>
                <xdr:colOff>247650</xdr:colOff>
                <xdr:row>48</xdr:row>
                <xdr:rowOff>19050</xdr:rowOff>
              </from>
              <to>
                <xdr:col>2</xdr:col>
                <xdr:colOff>409575</xdr:colOff>
                <xdr:row>48</xdr:row>
                <xdr:rowOff>142875</xdr:rowOff>
              </to>
            </anchor>
          </controlPr>
        </control>
      </mc:Choice>
      <mc:Fallback>
        <control shapeId="1076" r:id="rId50" name="VarErr46"/>
      </mc:Fallback>
    </mc:AlternateContent>
    <mc:AlternateContent xmlns:mc="http://schemas.openxmlformats.org/markup-compatibility/2006">
      <mc:Choice Requires="x14">
        <control shapeId="1077" r:id="rId51" name="VarErr47">
          <controlPr defaultSize="0" autoLine="0" r:id="rId5">
            <anchor moveWithCells="1">
              <from>
                <xdr:col>2</xdr:col>
                <xdr:colOff>247650</xdr:colOff>
                <xdr:row>49</xdr:row>
                <xdr:rowOff>19050</xdr:rowOff>
              </from>
              <to>
                <xdr:col>2</xdr:col>
                <xdr:colOff>409575</xdr:colOff>
                <xdr:row>49</xdr:row>
                <xdr:rowOff>142875</xdr:rowOff>
              </to>
            </anchor>
          </controlPr>
        </control>
      </mc:Choice>
      <mc:Fallback>
        <control shapeId="1077" r:id="rId51" name="VarErr47"/>
      </mc:Fallback>
    </mc:AlternateContent>
    <mc:AlternateContent xmlns:mc="http://schemas.openxmlformats.org/markup-compatibility/2006">
      <mc:Choice Requires="x14">
        <control shapeId="1078" r:id="rId52" name="VarErr48">
          <controlPr defaultSize="0" autoLine="0" r:id="rId5">
            <anchor moveWithCells="1">
              <from>
                <xdr:col>2</xdr:col>
                <xdr:colOff>247650</xdr:colOff>
                <xdr:row>50</xdr:row>
                <xdr:rowOff>19050</xdr:rowOff>
              </from>
              <to>
                <xdr:col>2</xdr:col>
                <xdr:colOff>409575</xdr:colOff>
                <xdr:row>50</xdr:row>
                <xdr:rowOff>142875</xdr:rowOff>
              </to>
            </anchor>
          </controlPr>
        </control>
      </mc:Choice>
      <mc:Fallback>
        <control shapeId="1078" r:id="rId52" name="VarErr48"/>
      </mc:Fallback>
    </mc:AlternateContent>
    <mc:AlternateContent xmlns:mc="http://schemas.openxmlformats.org/markup-compatibility/2006">
      <mc:Choice Requires="x14">
        <control shapeId="1079" r:id="rId53" name="VarErr49">
          <controlPr defaultSize="0" autoLine="0" r:id="rId5">
            <anchor moveWithCells="1">
              <from>
                <xdr:col>2</xdr:col>
                <xdr:colOff>247650</xdr:colOff>
                <xdr:row>51</xdr:row>
                <xdr:rowOff>19050</xdr:rowOff>
              </from>
              <to>
                <xdr:col>2</xdr:col>
                <xdr:colOff>409575</xdr:colOff>
                <xdr:row>51</xdr:row>
                <xdr:rowOff>142875</xdr:rowOff>
              </to>
            </anchor>
          </controlPr>
        </control>
      </mc:Choice>
      <mc:Fallback>
        <control shapeId="1079" r:id="rId53" name="VarErr49"/>
      </mc:Fallback>
    </mc:AlternateContent>
    <mc:AlternateContent xmlns:mc="http://schemas.openxmlformats.org/markup-compatibility/2006">
      <mc:Choice Requires="x14">
        <control shapeId="1080" r:id="rId54" name="VarErr50">
          <controlPr defaultSize="0" autoLine="0" r:id="rId5">
            <anchor moveWithCells="1">
              <from>
                <xdr:col>2</xdr:col>
                <xdr:colOff>247650</xdr:colOff>
                <xdr:row>52</xdr:row>
                <xdr:rowOff>19050</xdr:rowOff>
              </from>
              <to>
                <xdr:col>2</xdr:col>
                <xdr:colOff>409575</xdr:colOff>
                <xdr:row>52</xdr:row>
                <xdr:rowOff>142875</xdr:rowOff>
              </to>
            </anchor>
          </controlPr>
        </control>
      </mc:Choice>
      <mc:Fallback>
        <control shapeId="1080" r:id="rId54" name="VarErr50"/>
      </mc:Fallback>
    </mc:AlternateContent>
    <mc:AlternateContent xmlns:mc="http://schemas.openxmlformats.org/markup-compatibility/2006">
      <mc:Choice Requires="x14">
        <control shapeId="1081" r:id="rId55" name="VarErr51">
          <controlPr defaultSize="0" autoLine="0" r:id="rId5">
            <anchor moveWithCells="1">
              <from>
                <xdr:col>2</xdr:col>
                <xdr:colOff>247650</xdr:colOff>
                <xdr:row>53</xdr:row>
                <xdr:rowOff>19050</xdr:rowOff>
              </from>
              <to>
                <xdr:col>2</xdr:col>
                <xdr:colOff>409575</xdr:colOff>
                <xdr:row>53</xdr:row>
                <xdr:rowOff>142875</xdr:rowOff>
              </to>
            </anchor>
          </controlPr>
        </control>
      </mc:Choice>
      <mc:Fallback>
        <control shapeId="1081" r:id="rId55" name="VarErr51"/>
      </mc:Fallback>
    </mc:AlternateContent>
    <mc:AlternateContent xmlns:mc="http://schemas.openxmlformats.org/markup-compatibility/2006">
      <mc:Choice Requires="x14">
        <control shapeId="1082" r:id="rId56" name="VarErr52">
          <controlPr defaultSize="0" autoLine="0" r:id="rId5">
            <anchor moveWithCells="1">
              <from>
                <xdr:col>2</xdr:col>
                <xdr:colOff>247650</xdr:colOff>
                <xdr:row>54</xdr:row>
                <xdr:rowOff>19050</xdr:rowOff>
              </from>
              <to>
                <xdr:col>2</xdr:col>
                <xdr:colOff>409575</xdr:colOff>
                <xdr:row>54</xdr:row>
                <xdr:rowOff>142875</xdr:rowOff>
              </to>
            </anchor>
          </controlPr>
        </control>
      </mc:Choice>
      <mc:Fallback>
        <control shapeId="1082" r:id="rId56" name="VarErr52"/>
      </mc:Fallback>
    </mc:AlternateContent>
    <mc:AlternateContent xmlns:mc="http://schemas.openxmlformats.org/markup-compatibility/2006">
      <mc:Choice Requires="x14">
        <control shapeId="1083" r:id="rId57" name="VarErr53">
          <controlPr defaultSize="0" autoLine="0" r:id="rId5">
            <anchor moveWithCells="1">
              <from>
                <xdr:col>2</xdr:col>
                <xdr:colOff>247650</xdr:colOff>
                <xdr:row>55</xdr:row>
                <xdr:rowOff>19050</xdr:rowOff>
              </from>
              <to>
                <xdr:col>2</xdr:col>
                <xdr:colOff>409575</xdr:colOff>
                <xdr:row>55</xdr:row>
                <xdr:rowOff>142875</xdr:rowOff>
              </to>
            </anchor>
          </controlPr>
        </control>
      </mc:Choice>
      <mc:Fallback>
        <control shapeId="1083" r:id="rId57" name="VarErr53"/>
      </mc:Fallback>
    </mc:AlternateContent>
    <mc:AlternateContent xmlns:mc="http://schemas.openxmlformats.org/markup-compatibility/2006">
      <mc:Choice Requires="x14">
        <control shapeId="1084" r:id="rId58" name="VarErr54">
          <controlPr defaultSize="0" autoLine="0" r:id="rId5">
            <anchor moveWithCells="1">
              <from>
                <xdr:col>2</xdr:col>
                <xdr:colOff>247650</xdr:colOff>
                <xdr:row>56</xdr:row>
                <xdr:rowOff>19050</xdr:rowOff>
              </from>
              <to>
                <xdr:col>2</xdr:col>
                <xdr:colOff>409575</xdr:colOff>
                <xdr:row>56</xdr:row>
                <xdr:rowOff>142875</xdr:rowOff>
              </to>
            </anchor>
          </controlPr>
        </control>
      </mc:Choice>
      <mc:Fallback>
        <control shapeId="1084" r:id="rId58" name="VarErr54"/>
      </mc:Fallback>
    </mc:AlternateContent>
    <mc:AlternateContent xmlns:mc="http://schemas.openxmlformats.org/markup-compatibility/2006">
      <mc:Choice Requires="x14">
        <control shapeId="1085" r:id="rId59" name="VarErr55">
          <controlPr defaultSize="0" autoLine="0" r:id="rId5">
            <anchor moveWithCells="1">
              <from>
                <xdr:col>2</xdr:col>
                <xdr:colOff>247650</xdr:colOff>
                <xdr:row>57</xdr:row>
                <xdr:rowOff>19050</xdr:rowOff>
              </from>
              <to>
                <xdr:col>2</xdr:col>
                <xdr:colOff>409575</xdr:colOff>
                <xdr:row>57</xdr:row>
                <xdr:rowOff>142875</xdr:rowOff>
              </to>
            </anchor>
          </controlPr>
        </control>
      </mc:Choice>
      <mc:Fallback>
        <control shapeId="1085" r:id="rId59" name="VarErr55"/>
      </mc:Fallback>
    </mc:AlternateContent>
    <mc:AlternateContent xmlns:mc="http://schemas.openxmlformats.org/markup-compatibility/2006">
      <mc:Choice Requires="x14">
        <control shapeId="1086" r:id="rId60" name="VarErr56">
          <controlPr defaultSize="0" autoLine="0" r:id="rId5">
            <anchor moveWithCells="1">
              <from>
                <xdr:col>2</xdr:col>
                <xdr:colOff>247650</xdr:colOff>
                <xdr:row>58</xdr:row>
                <xdr:rowOff>19050</xdr:rowOff>
              </from>
              <to>
                <xdr:col>2</xdr:col>
                <xdr:colOff>409575</xdr:colOff>
                <xdr:row>58</xdr:row>
                <xdr:rowOff>142875</xdr:rowOff>
              </to>
            </anchor>
          </controlPr>
        </control>
      </mc:Choice>
      <mc:Fallback>
        <control shapeId="1086" r:id="rId60" name="VarErr56"/>
      </mc:Fallback>
    </mc:AlternateContent>
    <mc:AlternateContent xmlns:mc="http://schemas.openxmlformats.org/markup-compatibility/2006">
      <mc:Choice Requires="x14">
        <control shapeId="1087" r:id="rId61" name="VarErr57">
          <controlPr defaultSize="0" autoLine="0" r:id="rId5">
            <anchor moveWithCells="1">
              <from>
                <xdr:col>2</xdr:col>
                <xdr:colOff>247650</xdr:colOff>
                <xdr:row>59</xdr:row>
                <xdr:rowOff>19050</xdr:rowOff>
              </from>
              <to>
                <xdr:col>2</xdr:col>
                <xdr:colOff>409575</xdr:colOff>
                <xdr:row>59</xdr:row>
                <xdr:rowOff>142875</xdr:rowOff>
              </to>
            </anchor>
          </controlPr>
        </control>
      </mc:Choice>
      <mc:Fallback>
        <control shapeId="1087" r:id="rId61" name="VarErr57"/>
      </mc:Fallback>
    </mc:AlternateContent>
    <mc:AlternateContent xmlns:mc="http://schemas.openxmlformats.org/markup-compatibility/2006">
      <mc:Choice Requires="x14">
        <control shapeId="1088" r:id="rId62" name="VarErr58">
          <controlPr defaultSize="0" autoLine="0" r:id="rId5">
            <anchor moveWithCells="1">
              <from>
                <xdr:col>2</xdr:col>
                <xdr:colOff>247650</xdr:colOff>
                <xdr:row>60</xdr:row>
                <xdr:rowOff>19050</xdr:rowOff>
              </from>
              <to>
                <xdr:col>2</xdr:col>
                <xdr:colOff>409575</xdr:colOff>
                <xdr:row>60</xdr:row>
                <xdr:rowOff>142875</xdr:rowOff>
              </to>
            </anchor>
          </controlPr>
        </control>
      </mc:Choice>
      <mc:Fallback>
        <control shapeId="1088" r:id="rId62" name="VarErr58"/>
      </mc:Fallback>
    </mc:AlternateContent>
    <mc:AlternateContent xmlns:mc="http://schemas.openxmlformats.org/markup-compatibility/2006">
      <mc:Choice Requires="x14">
        <control shapeId="1089" r:id="rId63" name="VarErr59">
          <controlPr defaultSize="0" autoLine="0" r:id="rId5">
            <anchor moveWithCells="1">
              <from>
                <xdr:col>2</xdr:col>
                <xdr:colOff>247650</xdr:colOff>
                <xdr:row>61</xdr:row>
                <xdr:rowOff>19050</xdr:rowOff>
              </from>
              <to>
                <xdr:col>2</xdr:col>
                <xdr:colOff>409575</xdr:colOff>
                <xdr:row>61</xdr:row>
                <xdr:rowOff>142875</xdr:rowOff>
              </to>
            </anchor>
          </controlPr>
        </control>
      </mc:Choice>
      <mc:Fallback>
        <control shapeId="1089" r:id="rId63" name="VarErr59"/>
      </mc:Fallback>
    </mc:AlternateContent>
    <mc:AlternateContent xmlns:mc="http://schemas.openxmlformats.org/markup-compatibility/2006">
      <mc:Choice Requires="x14">
        <control shapeId="1090" r:id="rId64" name="VarErr60">
          <controlPr defaultSize="0" autoLine="0" r:id="rId5">
            <anchor moveWithCells="1">
              <from>
                <xdr:col>2</xdr:col>
                <xdr:colOff>247650</xdr:colOff>
                <xdr:row>62</xdr:row>
                <xdr:rowOff>19050</xdr:rowOff>
              </from>
              <to>
                <xdr:col>2</xdr:col>
                <xdr:colOff>409575</xdr:colOff>
                <xdr:row>62</xdr:row>
                <xdr:rowOff>142875</xdr:rowOff>
              </to>
            </anchor>
          </controlPr>
        </control>
      </mc:Choice>
      <mc:Fallback>
        <control shapeId="1090" r:id="rId64" name="VarErr60"/>
      </mc:Fallback>
    </mc:AlternateContent>
    <mc:AlternateContent xmlns:mc="http://schemas.openxmlformats.org/markup-compatibility/2006">
      <mc:Choice Requires="x14">
        <control shapeId="1091" r:id="rId65" name="VarErr61">
          <controlPr defaultSize="0" autoLine="0" r:id="rId5">
            <anchor moveWithCells="1">
              <from>
                <xdr:col>2</xdr:col>
                <xdr:colOff>247650</xdr:colOff>
                <xdr:row>63</xdr:row>
                <xdr:rowOff>19050</xdr:rowOff>
              </from>
              <to>
                <xdr:col>2</xdr:col>
                <xdr:colOff>409575</xdr:colOff>
                <xdr:row>63</xdr:row>
                <xdr:rowOff>142875</xdr:rowOff>
              </to>
            </anchor>
          </controlPr>
        </control>
      </mc:Choice>
      <mc:Fallback>
        <control shapeId="1091" r:id="rId65" name="VarErr61"/>
      </mc:Fallback>
    </mc:AlternateContent>
    <mc:AlternateContent xmlns:mc="http://schemas.openxmlformats.org/markup-compatibility/2006">
      <mc:Choice Requires="x14">
        <control shapeId="1092" r:id="rId66" name="VarErr62">
          <controlPr defaultSize="0" autoLine="0" r:id="rId5">
            <anchor moveWithCells="1">
              <from>
                <xdr:col>2</xdr:col>
                <xdr:colOff>247650</xdr:colOff>
                <xdr:row>64</xdr:row>
                <xdr:rowOff>19050</xdr:rowOff>
              </from>
              <to>
                <xdr:col>2</xdr:col>
                <xdr:colOff>409575</xdr:colOff>
                <xdr:row>64</xdr:row>
                <xdr:rowOff>142875</xdr:rowOff>
              </to>
            </anchor>
          </controlPr>
        </control>
      </mc:Choice>
      <mc:Fallback>
        <control shapeId="1092" r:id="rId66" name="VarErr62"/>
      </mc:Fallback>
    </mc:AlternateContent>
    <mc:AlternateContent xmlns:mc="http://schemas.openxmlformats.org/markup-compatibility/2006">
      <mc:Choice Requires="x14">
        <control shapeId="1093" r:id="rId67" name="VarErr63">
          <controlPr defaultSize="0" autoLine="0" r:id="rId5">
            <anchor moveWithCells="1">
              <from>
                <xdr:col>2</xdr:col>
                <xdr:colOff>247650</xdr:colOff>
                <xdr:row>65</xdr:row>
                <xdr:rowOff>19050</xdr:rowOff>
              </from>
              <to>
                <xdr:col>2</xdr:col>
                <xdr:colOff>409575</xdr:colOff>
                <xdr:row>65</xdr:row>
                <xdr:rowOff>142875</xdr:rowOff>
              </to>
            </anchor>
          </controlPr>
        </control>
      </mc:Choice>
      <mc:Fallback>
        <control shapeId="1093" r:id="rId67" name="VarErr63"/>
      </mc:Fallback>
    </mc:AlternateContent>
    <mc:AlternateContent xmlns:mc="http://schemas.openxmlformats.org/markup-compatibility/2006">
      <mc:Choice Requires="x14">
        <control shapeId="1094" r:id="rId68" name="VarErr64">
          <controlPr defaultSize="0" autoLine="0" r:id="rId5">
            <anchor moveWithCells="1">
              <from>
                <xdr:col>2</xdr:col>
                <xdr:colOff>247650</xdr:colOff>
                <xdr:row>66</xdr:row>
                <xdr:rowOff>19050</xdr:rowOff>
              </from>
              <to>
                <xdr:col>2</xdr:col>
                <xdr:colOff>409575</xdr:colOff>
                <xdr:row>66</xdr:row>
                <xdr:rowOff>142875</xdr:rowOff>
              </to>
            </anchor>
          </controlPr>
        </control>
      </mc:Choice>
      <mc:Fallback>
        <control shapeId="1094" r:id="rId68" name="VarErr64"/>
      </mc:Fallback>
    </mc:AlternateContent>
    <mc:AlternateContent xmlns:mc="http://schemas.openxmlformats.org/markup-compatibility/2006">
      <mc:Choice Requires="x14">
        <control shapeId="1095" r:id="rId69" name="VarErr65">
          <controlPr defaultSize="0" autoLine="0" r:id="rId5">
            <anchor moveWithCells="1">
              <from>
                <xdr:col>2</xdr:col>
                <xdr:colOff>247650</xdr:colOff>
                <xdr:row>67</xdr:row>
                <xdr:rowOff>19050</xdr:rowOff>
              </from>
              <to>
                <xdr:col>2</xdr:col>
                <xdr:colOff>409575</xdr:colOff>
                <xdr:row>67</xdr:row>
                <xdr:rowOff>142875</xdr:rowOff>
              </to>
            </anchor>
          </controlPr>
        </control>
      </mc:Choice>
      <mc:Fallback>
        <control shapeId="1095" r:id="rId69" name="VarErr65"/>
      </mc:Fallback>
    </mc:AlternateContent>
    <mc:AlternateContent xmlns:mc="http://schemas.openxmlformats.org/markup-compatibility/2006">
      <mc:Choice Requires="x14">
        <control shapeId="1096" r:id="rId70" name="VarErr66">
          <controlPr defaultSize="0" autoLine="0" r:id="rId5">
            <anchor moveWithCells="1">
              <from>
                <xdr:col>2</xdr:col>
                <xdr:colOff>247650</xdr:colOff>
                <xdr:row>68</xdr:row>
                <xdr:rowOff>19050</xdr:rowOff>
              </from>
              <to>
                <xdr:col>2</xdr:col>
                <xdr:colOff>409575</xdr:colOff>
                <xdr:row>68</xdr:row>
                <xdr:rowOff>142875</xdr:rowOff>
              </to>
            </anchor>
          </controlPr>
        </control>
      </mc:Choice>
      <mc:Fallback>
        <control shapeId="1096" r:id="rId70" name="VarErr66"/>
      </mc:Fallback>
    </mc:AlternateContent>
    <mc:AlternateContent xmlns:mc="http://schemas.openxmlformats.org/markup-compatibility/2006">
      <mc:Choice Requires="x14">
        <control shapeId="1097" r:id="rId71" name="VarErr67">
          <controlPr defaultSize="0" autoLine="0" r:id="rId5">
            <anchor moveWithCells="1">
              <from>
                <xdr:col>2</xdr:col>
                <xdr:colOff>247650</xdr:colOff>
                <xdr:row>69</xdr:row>
                <xdr:rowOff>19050</xdr:rowOff>
              </from>
              <to>
                <xdr:col>2</xdr:col>
                <xdr:colOff>409575</xdr:colOff>
                <xdr:row>69</xdr:row>
                <xdr:rowOff>142875</xdr:rowOff>
              </to>
            </anchor>
          </controlPr>
        </control>
      </mc:Choice>
      <mc:Fallback>
        <control shapeId="1097" r:id="rId71" name="VarErr67"/>
      </mc:Fallback>
    </mc:AlternateContent>
    <mc:AlternateContent xmlns:mc="http://schemas.openxmlformats.org/markup-compatibility/2006">
      <mc:Choice Requires="x14">
        <control shapeId="1098" r:id="rId72" name="VarErr68">
          <controlPr defaultSize="0" autoLine="0" r:id="rId5">
            <anchor moveWithCells="1">
              <from>
                <xdr:col>2</xdr:col>
                <xdr:colOff>247650</xdr:colOff>
                <xdr:row>70</xdr:row>
                <xdr:rowOff>19050</xdr:rowOff>
              </from>
              <to>
                <xdr:col>2</xdr:col>
                <xdr:colOff>409575</xdr:colOff>
                <xdr:row>70</xdr:row>
                <xdr:rowOff>142875</xdr:rowOff>
              </to>
            </anchor>
          </controlPr>
        </control>
      </mc:Choice>
      <mc:Fallback>
        <control shapeId="1098" r:id="rId72" name="VarErr68"/>
      </mc:Fallback>
    </mc:AlternateContent>
    <mc:AlternateContent xmlns:mc="http://schemas.openxmlformats.org/markup-compatibility/2006">
      <mc:Choice Requires="x14">
        <control shapeId="1099" r:id="rId73" name="VarErr69">
          <controlPr defaultSize="0" autoLine="0" r:id="rId5">
            <anchor moveWithCells="1">
              <from>
                <xdr:col>2</xdr:col>
                <xdr:colOff>247650</xdr:colOff>
                <xdr:row>71</xdr:row>
                <xdr:rowOff>19050</xdr:rowOff>
              </from>
              <to>
                <xdr:col>2</xdr:col>
                <xdr:colOff>409575</xdr:colOff>
                <xdr:row>71</xdr:row>
                <xdr:rowOff>142875</xdr:rowOff>
              </to>
            </anchor>
          </controlPr>
        </control>
      </mc:Choice>
      <mc:Fallback>
        <control shapeId="1099" r:id="rId73" name="VarErr69"/>
      </mc:Fallback>
    </mc:AlternateContent>
    <mc:AlternateContent xmlns:mc="http://schemas.openxmlformats.org/markup-compatibility/2006">
      <mc:Choice Requires="x14">
        <control shapeId="1100" r:id="rId74" name="VarErr70">
          <controlPr defaultSize="0" autoLine="0" r:id="rId5">
            <anchor moveWithCells="1">
              <from>
                <xdr:col>2</xdr:col>
                <xdr:colOff>247650</xdr:colOff>
                <xdr:row>72</xdr:row>
                <xdr:rowOff>19050</xdr:rowOff>
              </from>
              <to>
                <xdr:col>2</xdr:col>
                <xdr:colOff>409575</xdr:colOff>
                <xdr:row>72</xdr:row>
                <xdr:rowOff>142875</xdr:rowOff>
              </to>
            </anchor>
          </controlPr>
        </control>
      </mc:Choice>
      <mc:Fallback>
        <control shapeId="1100" r:id="rId74" name="VarErr70"/>
      </mc:Fallback>
    </mc:AlternateContent>
    <mc:AlternateContent xmlns:mc="http://schemas.openxmlformats.org/markup-compatibility/2006">
      <mc:Choice Requires="x14">
        <control shapeId="1101" r:id="rId75" name="VarErr71">
          <controlPr defaultSize="0" autoLine="0" r:id="rId5">
            <anchor moveWithCells="1">
              <from>
                <xdr:col>2</xdr:col>
                <xdr:colOff>247650</xdr:colOff>
                <xdr:row>73</xdr:row>
                <xdr:rowOff>19050</xdr:rowOff>
              </from>
              <to>
                <xdr:col>2</xdr:col>
                <xdr:colOff>409575</xdr:colOff>
                <xdr:row>73</xdr:row>
                <xdr:rowOff>142875</xdr:rowOff>
              </to>
            </anchor>
          </controlPr>
        </control>
      </mc:Choice>
      <mc:Fallback>
        <control shapeId="1101" r:id="rId75" name="VarErr71"/>
      </mc:Fallback>
    </mc:AlternateContent>
    <mc:AlternateContent xmlns:mc="http://schemas.openxmlformats.org/markup-compatibility/2006">
      <mc:Choice Requires="x14">
        <control shapeId="1102" r:id="rId76" name="VarErr72">
          <controlPr defaultSize="0" autoLine="0" r:id="rId5">
            <anchor moveWithCells="1">
              <from>
                <xdr:col>2</xdr:col>
                <xdr:colOff>247650</xdr:colOff>
                <xdr:row>74</xdr:row>
                <xdr:rowOff>19050</xdr:rowOff>
              </from>
              <to>
                <xdr:col>2</xdr:col>
                <xdr:colOff>409575</xdr:colOff>
                <xdr:row>74</xdr:row>
                <xdr:rowOff>142875</xdr:rowOff>
              </to>
            </anchor>
          </controlPr>
        </control>
      </mc:Choice>
      <mc:Fallback>
        <control shapeId="1102" r:id="rId76" name="VarErr72"/>
      </mc:Fallback>
    </mc:AlternateContent>
    <mc:AlternateContent xmlns:mc="http://schemas.openxmlformats.org/markup-compatibility/2006">
      <mc:Choice Requires="x14">
        <control shapeId="1103" r:id="rId77" name="VarErr73">
          <controlPr defaultSize="0" autoLine="0" r:id="rId5">
            <anchor moveWithCells="1">
              <from>
                <xdr:col>2</xdr:col>
                <xdr:colOff>247650</xdr:colOff>
                <xdr:row>75</xdr:row>
                <xdr:rowOff>19050</xdr:rowOff>
              </from>
              <to>
                <xdr:col>2</xdr:col>
                <xdr:colOff>409575</xdr:colOff>
                <xdr:row>75</xdr:row>
                <xdr:rowOff>142875</xdr:rowOff>
              </to>
            </anchor>
          </controlPr>
        </control>
      </mc:Choice>
      <mc:Fallback>
        <control shapeId="1103" r:id="rId77" name="VarErr73"/>
      </mc:Fallback>
    </mc:AlternateContent>
    <mc:AlternateContent xmlns:mc="http://schemas.openxmlformats.org/markup-compatibility/2006">
      <mc:Choice Requires="x14">
        <control shapeId="1104" r:id="rId78" name="VarErr74">
          <controlPr defaultSize="0" autoLine="0" r:id="rId5">
            <anchor moveWithCells="1">
              <from>
                <xdr:col>2</xdr:col>
                <xdr:colOff>247650</xdr:colOff>
                <xdr:row>76</xdr:row>
                <xdr:rowOff>19050</xdr:rowOff>
              </from>
              <to>
                <xdr:col>2</xdr:col>
                <xdr:colOff>409575</xdr:colOff>
                <xdr:row>76</xdr:row>
                <xdr:rowOff>142875</xdr:rowOff>
              </to>
            </anchor>
          </controlPr>
        </control>
      </mc:Choice>
      <mc:Fallback>
        <control shapeId="1104" r:id="rId78" name="VarErr74"/>
      </mc:Fallback>
    </mc:AlternateContent>
    <mc:AlternateContent xmlns:mc="http://schemas.openxmlformats.org/markup-compatibility/2006">
      <mc:Choice Requires="x14">
        <control shapeId="1105" r:id="rId79" name="VarErr75">
          <controlPr defaultSize="0" autoLine="0" r:id="rId5">
            <anchor moveWithCells="1">
              <from>
                <xdr:col>2</xdr:col>
                <xdr:colOff>247650</xdr:colOff>
                <xdr:row>77</xdr:row>
                <xdr:rowOff>19050</xdr:rowOff>
              </from>
              <to>
                <xdr:col>2</xdr:col>
                <xdr:colOff>409575</xdr:colOff>
                <xdr:row>77</xdr:row>
                <xdr:rowOff>142875</xdr:rowOff>
              </to>
            </anchor>
          </controlPr>
        </control>
      </mc:Choice>
      <mc:Fallback>
        <control shapeId="1105" r:id="rId79" name="VarErr75"/>
      </mc:Fallback>
    </mc:AlternateContent>
    <mc:AlternateContent xmlns:mc="http://schemas.openxmlformats.org/markup-compatibility/2006">
      <mc:Choice Requires="x14">
        <control shapeId="1106" r:id="rId80" name="VarErr76">
          <controlPr defaultSize="0" autoLine="0" r:id="rId5">
            <anchor moveWithCells="1">
              <from>
                <xdr:col>2</xdr:col>
                <xdr:colOff>247650</xdr:colOff>
                <xdr:row>78</xdr:row>
                <xdr:rowOff>19050</xdr:rowOff>
              </from>
              <to>
                <xdr:col>2</xdr:col>
                <xdr:colOff>409575</xdr:colOff>
                <xdr:row>78</xdr:row>
                <xdr:rowOff>142875</xdr:rowOff>
              </to>
            </anchor>
          </controlPr>
        </control>
      </mc:Choice>
      <mc:Fallback>
        <control shapeId="1106" r:id="rId80" name="VarErr76"/>
      </mc:Fallback>
    </mc:AlternateContent>
    <mc:AlternateContent xmlns:mc="http://schemas.openxmlformats.org/markup-compatibility/2006">
      <mc:Choice Requires="x14">
        <control shapeId="1107" r:id="rId81" name="VarErr77">
          <controlPr defaultSize="0" autoLine="0" r:id="rId5">
            <anchor moveWithCells="1">
              <from>
                <xdr:col>2</xdr:col>
                <xdr:colOff>247650</xdr:colOff>
                <xdr:row>79</xdr:row>
                <xdr:rowOff>19050</xdr:rowOff>
              </from>
              <to>
                <xdr:col>2</xdr:col>
                <xdr:colOff>409575</xdr:colOff>
                <xdr:row>79</xdr:row>
                <xdr:rowOff>142875</xdr:rowOff>
              </to>
            </anchor>
          </controlPr>
        </control>
      </mc:Choice>
      <mc:Fallback>
        <control shapeId="1107" r:id="rId81" name="VarErr77"/>
      </mc:Fallback>
    </mc:AlternateContent>
    <mc:AlternateContent xmlns:mc="http://schemas.openxmlformats.org/markup-compatibility/2006">
      <mc:Choice Requires="x14">
        <control shapeId="1108" r:id="rId82" name="VarErr78">
          <controlPr defaultSize="0" autoLine="0" r:id="rId5">
            <anchor moveWithCells="1">
              <from>
                <xdr:col>2</xdr:col>
                <xdr:colOff>247650</xdr:colOff>
                <xdr:row>80</xdr:row>
                <xdr:rowOff>19050</xdr:rowOff>
              </from>
              <to>
                <xdr:col>2</xdr:col>
                <xdr:colOff>409575</xdr:colOff>
                <xdr:row>80</xdr:row>
                <xdr:rowOff>142875</xdr:rowOff>
              </to>
            </anchor>
          </controlPr>
        </control>
      </mc:Choice>
      <mc:Fallback>
        <control shapeId="1108" r:id="rId82" name="VarErr78"/>
      </mc:Fallback>
    </mc:AlternateContent>
    <mc:AlternateContent xmlns:mc="http://schemas.openxmlformats.org/markup-compatibility/2006">
      <mc:Choice Requires="x14">
        <control shapeId="1109" r:id="rId83" name="VarErr79">
          <controlPr defaultSize="0" autoLine="0" r:id="rId5">
            <anchor moveWithCells="1">
              <from>
                <xdr:col>2</xdr:col>
                <xdr:colOff>247650</xdr:colOff>
                <xdr:row>81</xdr:row>
                <xdr:rowOff>19050</xdr:rowOff>
              </from>
              <to>
                <xdr:col>2</xdr:col>
                <xdr:colOff>409575</xdr:colOff>
                <xdr:row>81</xdr:row>
                <xdr:rowOff>142875</xdr:rowOff>
              </to>
            </anchor>
          </controlPr>
        </control>
      </mc:Choice>
      <mc:Fallback>
        <control shapeId="1109" r:id="rId83" name="VarErr79"/>
      </mc:Fallback>
    </mc:AlternateContent>
    <mc:AlternateContent xmlns:mc="http://schemas.openxmlformats.org/markup-compatibility/2006">
      <mc:Choice Requires="x14">
        <control shapeId="1110" r:id="rId84" name="VarErr80">
          <controlPr defaultSize="0" autoLine="0" r:id="rId5">
            <anchor moveWithCells="1">
              <from>
                <xdr:col>2</xdr:col>
                <xdr:colOff>247650</xdr:colOff>
                <xdr:row>82</xdr:row>
                <xdr:rowOff>19050</xdr:rowOff>
              </from>
              <to>
                <xdr:col>2</xdr:col>
                <xdr:colOff>409575</xdr:colOff>
                <xdr:row>82</xdr:row>
                <xdr:rowOff>142875</xdr:rowOff>
              </to>
            </anchor>
          </controlPr>
        </control>
      </mc:Choice>
      <mc:Fallback>
        <control shapeId="1110" r:id="rId84" name="VarErr80"/>
      </mc:Fallback>
    </mc:AlternateContent>
    <mc:AlternateContent xmlns:mc="http://schemas.openxmlformats.org/markup-compatibility/2006">
      <mc:Choice Requires="x14">
        <control shapeId="1111" r:id="rId85" name="VarErr81">
          <controlPr defaultSize="0" autoLine="0" r:id="rId5">
            <anchor moveWithCells="1">
              <from>
                <xdr:col>2</xdr:col>
                <xdr:colOff>247650</xdr:colOff>
                <xdr:row>83</xdr:row>
                <xdr:rowOff>19050</xdr:rowOff>
              </from>
              <to>
                <xdr:col>2</xdr:col>
                <xdr:colOff>409575</xdr:colOff>
                <xdr:row>83</xdr:row>
                <xdr:rowOff>142875</xdr:rowOff>
              </to>
            </anchor>
          </controlPr>
        </control>
      </mc:Choice>
      <mc:Fallback>
        <control shapeId="1111" r:id="rId85" name="VarErr81"/>
      </mc:Fallback>
    </mc:AlternateContent>
    <mc:AlternateContent xmlns:mc="http://schemas.openxmlformats.org/markup-compatibility/2006">
      <mc:Choice Requires="x14">
        <control shapeId="1112" r:id="rId86" name="VarErr82">
          <controlPr defaultSize="0" autoLine="0" r:id="rId5">
            <anchor moveWithCells="1">
              <from>
                <xdr:col>2</xdr:col>
                <xdr:colOff>247650</xdr:colOff>
                <xdr:row>84</xdr:row>
                <xdr:rowOff>19050</xdr:rowOff>
              </from>
              <to>
                <xdr:col>2</xdr:col>
                <xdr:colOff>409575</xdr:colOff>
                <xdr:row>84</xdr:row>
                <xdr:rowOff>142875</xdr:rowOff>
              </to>
            </anchor>
          </controlPr>
        </control>
      </mc:Choice>
      <mc:Fallback>
        <control shapeId="1112" r:id="rId86" name="VarErr82"/>
      </mc:Fallback>
    </mc:AlternateContent>
    <mc:AlternateContent xmlns:mc="http://schemas.openxmlformats.org/markup-compatibility/2006">
      <mc:Choice Requires="x14">
        <control shapeId="1113" r:id="rId87" name="VarErr83">
          <controlPr defaultSize="0" autoLine="0" r:id="rId5">
            <anchor moveWithCells="1">
              <from>
                <xdr:col>2</xdr:col>
                <xdr:colOff>247650</xdr:colOff>
                <xdr:row>85</xdr:row>
                <xdr:rowOff>19050</xdr:rowOff>
              </from>
              <to>
                <xdr:col>2</xdr:col>
                <xdr:colOff>409575</xdr:colOff>
                <xdr:row>85</xdr:row>
                <xdr:rowOff>142875</xdr:rowOff>
              </to>
            </anchor>
          </controlPr>
        </control>
      </mc:Choice>
      <mc:Fallback>
        <control shapeId="1113" r:id="rId87" name="VarErr83"/>
      </mc:Fallback>
    </mc:AlternateContent>
    <mc:AlternateContent xmlns:mc="http://schemas.openxmlformats.org/markup-compatibility/2006">
      <mc:Choice Requires="x14">
        <control shapeId="1114" r:id="rId88" name="VarErr84">
          <controlPr defaultSize="0" autoLine="0" r:id="rId5">
            <anchor moveWithCells="1">
              <from>
                <xdr:col>2</xdr:col>
                <xdr:colOff>247650</xdr:colOff>
                <xdr:row>86</xdr:row>
                <xdr:rowOff>19050</xdr:rowOff>
              </from>
              <to>
                <xdr:col>2</xdr:col>
                <xdr:colOff>409575</xdr:colOff>
                <xdr:row>86</xdr:row>
                <xdr:rowOff>142875</xdr:rowOff>
              </to>
            </anchor>
          </controlPr>
        </control>
      </mc:Choice>
      <mc:Fallback>
        <control shapeId="1114" r:id="rId88" name="VarErr84"/>
      </mc:Fallback>
    </mc:AlternateContent>
    <mc:AlternateContent xmlns:mc="http://schemas.openxmlformats.org/markup-compatibility/2006">
      <mc:Choice Requires="x14">
        <control shapeId="1115" r:id="rId89" name="VarErr85">
          <controlPr defaultSize="0" autoLine="0" r:id="rId5">
            <anchor moveWithCells="1">
              <from>
                <xdr:col>2</xdr:col>
                <xdr:colOff>247650</xdr:colOff>
                <xdr:row>87</xdr:row>
                <xdr:rowOff>19050</xdr:rowOff>
              </from>
              <to>
                <xdr:col>2</xdr:col>
                <xdr:colOff>409575</xdr:colOff>
                <xdr:row>87</xdr:row>
                <xdr:rowOff>142875</xdr:rowOff>
              </to>
            </anchor>
          </controlPr>
        </control>
      </mc:Choice>
      <mc:Fallback>
        <control shapeId="1115" r:id="rId89" name="VarErr85"/>
      </mc:Fallback>
    </mc:AlternateContent>
    <mc:AlternateContent xmlns:mc="http://schemas.openxmlformats.org/markup-compatibility/2006">
      <mc:Choice Requires="x14">
        <control shapeId="1116" r:id="rId90" name="VarErr86">
          <controlPr defaultSize="0" autoLine="0" r:id="rId5">
            <anchor moveWithCells="1">
              <from>
                <xdr:col>2</xdr:col>
                <xdr:colOff>247650</xdr:colOff>
                <xdr:row>88</xdr:row>
                <xdr:rowOff>19050</xdr:rowOff>
              </from>
              <to>
                <xdr:col>2</xdr:col>
                <xdr:colOff>409575</xdr:colOff>
                <xdr:row>88</xdr:row>
                <xdr:rowOff>142875</xdr:rowOff>
              </to>
            </anchor>
          </controlPr>
        </control>
      </mc:Choice>
      <mc:Fallback>
        <control shapeId="1116" r:id="rId90" name="VarErr86"/>
      </mc:Fallback>
    </mc:AlternateContent>
    <mc:AlternateContent xmlns:mc="http://schemas.openxmlformats.org/markup-compatibility/2006">
      <mc:Choice Requires="x14">
        <control shapeId="1117" r:id="rId91" name="VarErr87">
          <controlPr defaultSize="0" autoLine="0" r:id="rId5">
            <anchor moveWithCells="1">
              <from>
                <xdr:col>2</xdr:col>
                <xdr:colOff>247650</xdr:colOff>
                <xdr:row>89</xdr:row>
                <xdr:rowOff>19050</xdr:rowOff>
              </from>
              <to>
                <xdr:col>2</xdr:col>
                <xdr:colOff>409575</xdr:colOff>
                <xdr:row>89</xdr:row>
                <xdr:rowOff>142875</xdr:rowOff>
              </to>
            </anchor>
          </controlPr>
        </control>
      </mc:Choice>
      <mc:Fallback>
        <control shapeId="1117" r:id="rId91" name="VarErr87"/>
      </mc:Fallback>
    </mc:AlternateContent>
    <mc:AlternateContent xmlns:mc="http://schemas.openxmlformats.org/markup-compatibility/2006">
      <mc:Choice Requires="x14">
        <control shapeId="1118" r:id="rId92" name="VarErr88">
          <controlPr defaultSize="0" autoLine="0" r:id="rId5">
            <anchor moveWithCells="1">
              <from>
                <xdr:col>2</xdr:col>
                <xdr:colOff>247650</xdr:colOff>
                <xdr:row>90</xdr:row>
                <xdr:rowOff>19050</xdr:rowOff>
              </from>
              <to>
                <xdr:col>2</xdr:col>
                <xdr:colOff>409575</xdr:colOff>
                <xdr:row>90</xdr:row>
                <xdr:rowOff>142875</xdr:rowOff>
              </to>
            </anchor>
          </controlPr>
        </control>
      </mc:Choice>
      <mc:Fallback>
        <control shapeId="1118" r:id="rId92" name="VarErr88"/>
      </mc:Fallback>
    </mc:AlternateContent>
    <mc:AlternateContent xmlns:mc="http://schemas.openxmlformats.org/markup-compatibility/2006">
      <mc:Choice Requires="x14">
        <control shapeId="1119" r:id="rId93" name="VarErr89">
          <controlPr defaultSize="0" autoLine="0" r:id="rId5">
            <anchor moveWithCells="1">
              <from>
                <xdr:col>2</xdr:col>
                <xdr:colOff>247650</xdr:colOff>
                <xdr:row>91</xdr:row>
                <xdr:rowOff>19050</xdr:rowOff>
              </from>
              <to>
                <xdr:col>2</xdr:col>
                <xdr:colOff>409575</xdr:colOff>
                <xdr:row>91</xdr:row>
                <xdr:rowOff>142875</xdr:rowOff>
              </to>
            </anchor>
          </controlPr>
        </control>
      </mc:Choice>
      <mc:Fallback>
        <control shapeId="1119" r:id="rId93" name="VarErr89"/>
      </mc:Fallback>
    </mc:AlternateContent>
    <mc:AlternateContent xmlns:mc="http://schemas.openxmlformats.org/markup-compatibility/2006">
      <mc:Choice Requires="x14">
        <control shapeId="1120" r:id="rId94" name="VarErr90">
          <controlPr defaultSize="0" autoLine="0" r:id="rId5">
            <anchor moveWithCells="1">
              <from>
                <xdr:col>2</xdr:col>
                <xdr:colOff>247650</xdr:colOff>
                <xdr:row>92</xdr:row>
                <xdr:rowOff>19050</xdr:rowOff>
              </from>
              <to>
                <xdr:col>2</xdr:col>
                <xdr:colOff>409575</xdr:colOff>
                <xdr:row>92</xdr:row>
                <xdr:rowOff>142875</xdr:rowOff>
              </to>
            </anchor>
          </controlPr>
        </control>
      </mc:Choice>
      <mc:Fallback>
        <control shapeId="1120" r:id="rId94" name="VarErr90"/>
      </mc:Fallback>
    </mc:AlternateContent>
    <mc:AlternateContent xmlns:mc="http://schemas.openxmlformats.org/markup-compatibility/2006">
      <mc:Choice Requires="x14">
        <control shapeId="1121" r:id="rId95" name="VarErr91">
          <controlPr defaultSize="0" autoLine="0" r:id="rId5">
            <anchor moveWithCells="1">
              <from>
                <xdr:col>2</xdr:col>
                <xdr:colOff>247650</xdr:colOff>
                <xdr:row>93</xdr:row>
                <xdr:rowOff>19050</xdr:rowOff>
              </from>
              <to>
                <xdr:col>2</xdr:col>
                <xdr:colOff>409575</xdr:colOff>
                <xdr:row>93</xdr:row>
                <xdr:rowOff>142875</xdr:rowOff>
              </to>
            </anchor>
          </controlPr>
        </control>
      </mc:Choice>
      <mc:Fallback>
        <control shapeId="1121" r:id="rId95" name="VarErr91"/>
      </mc:Fallback>
    </mc:AlternateContent>
    <mc:AlternateContent xmlns:mc="http://schemas.openxmlformats.org/markup-compatibility/2006">
      <mc:Choice Requires="x14">
        <control shapeId="1122" r:id="rId96" name="VarErr92">
          <controlPr defaultSize="0" autoLine="0" r:id="rId5">
            <anchor moveWithCells="1">
              <from>
                <xdr:col>2</xdr:col>
                <xdr:colOff>247650</xdr:colOff>
                <xdr:row>94</xdr:row>
                <xdr:rowOff>19050</xdr:rowOff>
              </from>
              <to>
                <xdr:col>2</xdr:col>
                <xdr:colOff>409575</xdr:colOff>
                <xdr:row>94</xdr:row>
                <xdr:rowOff>142875</xdr:rowOff>
              </to>
            </anchor>
          </controlPr>
        </control>
      </mc:Choice>
      <mc:Fallback>
        <control shapeId="1122" r:id="rId96" name="VarErr92"/>
      </mc:Fallback>
    </mc:AlternateContent>
    <mc:AlternateContent xmlns:mc="http://schemas.openxmlformats.org/markup-compatibility/2006">
      <mc:Choice Requires="x14">
        <control shapeId="1123" r:id="rId97" name="VarErr93">
          <controlPr defaultSize="0" autoLine="0" r:id="rId5">
            <anchor moveWithCells="1">
              <from>
                <xdr:col>2</xdr:col>
                <xdr:colOff>247650</xdr:colOff>
                <xdr:row>95</xdr:row>
                <xdr:rowOff>19050</xdr:rowOff>
              </from>
              <to>
                <xdr:col>2</xdr:col>
                <xdr:colOff>409575</xdr:colOff>
                <xdr:row>95</xdr:row>
                <xdr:rowOff>142875</xdr:rowOff>
              </to>
            </anchor>
          </controlPr>
        </control>
      </mc:Choice>
      <mc:Fallback>
        <control shapeId="1123" r:id="rId97" name="VarErr93"/>
      </mc:Fallback>
    </mc:AlternateContent>
    <mc:AlternateContent xmlns:mc="http://schemas.openxmlformats.org/markup-compatibility/2006">
      <mc:Choice Requires="x14">
        <control shapeId="1124" r:id="rId98" name="VarPreSelect1">
          <controlPr defaultSize="0" autoLine="0" r:id="rId5">
            <anchor moveWithCells="1">
              <from>
                <xdr:col>3</xdr:col>
                <xdr:colOff>247650</xdr:colOff>
                <xdr:row>3</xdr:row>
                <xdr:rowOff>19050</xdr:rowOff>
              </from>
              <to>
                <xdr:col>3</xdr:col>
                <xdr:colOff>409575</xdr:colOff>
                <xdr:row>3</xdr:row>
                <xdr:rowOff>142875</xdr:rowOff>
              </to>
            </anchor>
          </controlPr>
        </control>
      </mc:Choice>
      <mc:Fallback>
        <control shapeId="1124" r:id="rId98" name="VarPreSelect1"/>
      </mc:Fallback>
    </mc:AlternateContent>
    <mc:AlternateContent xmlns:mc="http://schemas.openxmlformats.org/markup-compatibility/2006">
      <mc:Choice Requires="x14">
        <control shapeId="1125" r:id="rId99" name="VarPreSelect2">
          <controlPr defaultSize="0" autoLine="0" r:id="rId5">
            <anchor moveWithCells="1">
              <from>
                <xdr:col>3</xdr:col>
                <xdr:colOff>247650</xdr:colOff>
                <xdr:row>4</xdr:row>
                <xdr:rowOff>19050</xdr:rowOff>
              </from>
              <to>
                <xdr:col>3</xdr:col>
                <xdr:colOff>409575</xdr:colOff>
                <xdr:row>4</xdr:row>
                <xdr:rowOff>142875</xdr:rowOff>
              </to>
            </anchor>
          </controlPr>
        </control>
      </mc:Choice>
      <mc:Fallback>
        <control shapeId="1125" r:id="rId99" name="VarPreSelect2"/>
      </mc:Fallback>
    </mc:AlternateContent>
    <mc:AlternateContent xmlns:mc="http://schemas.openxmlformats.org/markup-compatibility/2006">
      <mc:Choice Requires="x14">
        <control shapeId="1126" r:id="rId100" name="VarPreSelect3">
          <controlPr defaultSize="0" autoLine="0" r:id="rId5">
            <anchor moveWithCells="1">
              <from>
                <xdr:col>3</xdr:col>
                <xdr:colOff>247650</xdr:colOff>
                <xdr:row>5</xdr:row>
                <xdr:rowOff>19050</xdr:rowOff>
              </from>
              <to>
                <xdr:col>3</xdr:col>
                <xdr:colOff>409575</xdr:colOff>
                <xdr:row>5</xdr:row>
                <xdr:rowOff>142875</xdr:rowOff>
              </to>
            </anchor>
          </controlPr>
        </control>
      </mc:Choice>
      <mc:Fallback>
        <control shapeId="1126" r:id="rId100" name="VarPreSelect3"/>
      </mc:Fallback>
    </mc:AlternateContent>
    <mc:AlternateContent xmlns:mc="http://schemas.openxmlformats.org/markup-compatibility/2006">
      <mc:Choice Requires="x14">
        <control shapeId="1127" r:id="rId101" name="VarPreSelect4">
          <controlPr defaultSize="0" autoLine="0" r:id="rId5">
            <anchor moveWithCells="1">
              <from>
                <xdr:col>3</xdr:col>
                <xdr:colOff>247650</xdr:colOff>
                <xdr:row>6</xdr:row>
                <xdr:rowOff>19050</xdr:rowOff>
              </from>
              <to>
                <xdr:col>3</xdr:col>
                <xdr:colOff>409575</xdr:colOff>
                <xdr:row>6</xdr:row>
                <xdr:rowOff>142875</xdr:rowOff>
              </to>
            </anchor>
          </controlPr>
        </control>
      </mc:Choice>
      <mc:Fallback>
        <control shapeId="1127" r:id="rId101" name="VarPreSelect4"/>
      </mc:Fallback>
    </mc:AlternateContent>
    <mc:AlternateContent xmlns:mc="http://schemas.openxmlformats.org/markup-compatibility/2006">
      <mc:Choice Requires="x14">
        <control shapeId="1128" r:id="rId102" name="VarPreSelect5">
          <controlPr defaultSize="0" autoLine="0" r:id="rId5">
            <anchor moveWithCells="1">
              <from>
                <xdr:col>3</xdr:col>
                <xdr:colOff>247650</xdr:colOff>
                <xdr:row>7</xdr:row>
                <xdr:rowOff>19050</xdr:rowOff>
              </from>
              <to>
                <xdr:col>3</xdr:col>
                <xdr:colOff>409575</xdr:colOff>
                <xdr:row>7</xdr:row>
                <xdr:rowOff>142875</xdr:rowOff>
              </to>
            </anchor>
          </controlPr>
        </control>
      </mc:Choice>
      <mc:Fallback>
        <control shapeId="1128" r:id="rId102" name="VarPreSelect5"/>
      </mc:Fallback>
    </mc:AlternateContent>
    <mc:AlternateContent xmlns:mc="http://schemas.openxmlformats.org/markup-compatibility/2006">
      <mc:Choice Requires="x14">
        <control shapeId="1129" r:id="rId103" name="VarPreSelect6">
          <controlPr defaultSize="0" autoLine="0" r:id="rId5">
            <anchor moveWithCells="1">
              <from>
                <xdr:col>3</xdr:col>
                <xdr:colOff>247650</xdr:colOff>
                <xdr:row>8</xdr:row>
                <xdr:rowOff>19050</xdr:rowOff>
              </from>
              <to>
                <xdr:col>3</xdr:col>
                <xdr:colOff>409575</xdr:colOff>
                <xdr:row>8</xdr:row>
                <xdr:rowOff>142875</xdr:rowOff>
              </to>
            </anchor>
          </controlPr>
        </control>
      </mc:Choice>
      <mc:Fallback>
        <control shapeId="1129" r:id="rId103" name="VarPreSelect6"/>
      </mc:Fallback>
    </mc:AlternateContent>
    <mc:AlternateContent xmlns:mc="http://schemas.openxmlformats.org/markup-compatibility/2006">
      <mc:Choice Requires="x14">
        <control shapeId="1130" r:id="rId104" name="VarPreSelect7">
          <controlPr defaultSize="0" autoLine="0" r:id="rId5">
            <anchor moveWithCells="1">
              <from>
                <xdr:col>3</xdr:col>
                <xdr:colOff>247650</xdr:colOff>
                <xdr:row>9</xdr:row>
                <xdr:rowOff>19050</xdr:rowOff>
              </from>
              <to>
                <xdr:col>3</xdr:col>
                <xdr:colOff>409575</xdr:colOff>
                <xdr:row>9</xdr:row>
                <xdr:rowOff>142875</xdr:rowOff>
              </to>
            </anchor>
          </controlPr>
        </control>
      </mc:Choice>
      <mc:Fallback>
        <control shapeId="1130" r:id="rId104" name="VarPreSelect7"/>
      </mc:Fallback>
    </mc:AlternateContent>
    <mc:AlternateContent xmlns:mc="http://schemas.openxmlformats.org/markup-compatibility/2006">
      <mc:Choice Requires="x14">
        <control shapeId="1131" r:id="rId105" name="VarPreSelect8">
          <controlPr defaultSize="0" autoLine="0" r:id="rId5">
            <anchor moveWithCells="1">
              <from>
                <xdr:col>3</xdr:col>
                <xdr:colOff>247650</xdr:colOff>
                <xdr:row>10</xdr:row>
                <xdr:rowOff>19050</xdr:rowOff>
              </from>
              <to>
                <xdr:col>3</xdr:col>
                <xdr:colOff>409575</xdr:colOff>
                <xdr:row>10</xdr:row>
                <xdr:rowOff>142875</xdr:rowOff>
              </to>
            </anchor>
          </controlPr>
        </control>
      </mc:Choice>
      <mc:Fallback>
        <control shapeId="1131" r:id="rId105" name="VarPreSelect8"/>
      </mc:Fallback>
    </mc:AlternateContent>
    <mc:AlternateContent xmlns:mc="http://schemas.openxmlformats.org/markup-compatibility/2006">
      <mc:Choice Requires="x14">
        <control shapeId="1132" r:id="rId106" name="VarPreSelect9">
          <controlPr defaultSize="0" autoLine="0" r:id="rId5">
            <anchor moveWithCells="1">
              <from>
                <xdr:col>3</xdr:col>
                <xdr:colOff>247650</xdr:colOff>
                <xdr:row>11</xdr:row>
                <xdr:rowOff>19050</xdr:rowOff>
              </from>
              <to>
                <xdr:col>3</xdr:col>
                <xdr:colOff>409575</xdr:colOff>
                <xdr:row>11</xdr:row>
                <xdr:rowOff>142875</xdr:rowOff>
              </to>
            </anchor>
          </controlPr>
        </control>
      </mc:Choice>
      <mc:Fallback>
        <control shapeId="1132" r:id="rId106" name="VarPreSelect9"/>
      </mc:Fallback>
    </mc:AlternateContent>
    <mc:AlternateContent xmlns:mc="http://schemas.openxmlformats.org/markup-compatibility/2006">
      <mc:Choice Requires="x14">
        <control shapeId="1133" r:id="rId107" name="VarPreSelect10">
          <controlPr defaultSize="0" autoLine="0" r:id="rId5">
            <anchor moveWithCells="1">
              <from>
                <xdr:col>3</xdr:col>
                <xdr:colOff>247650</xdr:colOff>
                <xdr:row>12</xdr:row>
                <xdr:rowOff>19050</xdr:rowOff>
              </from>
              <to>
                <xdr:col>3</xdr:col>
                <xdr:colOff>409575</xdr:colOff>
                <xdr:row>12</xdr:row>
                <xdr:rowOff>142875</xdr:rowOff>
              </to>
            </anchor>
          </controlPr>
        </control>
      </mc:Choice>
      <mc:Fallback>
        <control shapeId="1133" r:id="rId107" name="VarPreSelect10"/>
      </mc:Fallback>
    </mc:AlternateContent>
    <mc:AlternateContent xmlns:mc="http://schemas.openxmlformats.org/markup-compatibility/2006">
      <mc:Choice Requires="x14">
        <control shapeId="1134" r:id="rId108" name="VarPreSelect11">
          <controlPr defaultSize="0" autoLine="0" r:id="rId5">
            <anchor moveWithCells="1">
              <from>
                <xdr:col>3</xdr:col>
                <xdr:colOff>247650</xdr:colOff>
                <xdr:row>13</xdr:row>
                <xdr:rowOff>19050</xdr:rowOff>
              </from>
              <to>
                <xdr:col>3</xdr:col>
                <xdr:colOff>409575</xdr:colOff>
                <xdr:row>13</xdr:row>
                <xdr:rowOff>142875</xdr:rowOff>
              </to>
            </anchor>
          </controlPr>
        </control>
      </mc:Choice>
      <mc:Fallback>
        <control shapeId="1134" r:id="rId108" name="VarPreSelect11"/>
      </mc:Fallback>
    </mc:AlternateContent>
    <mc:AlternateContent xmlns:mc="http://schemas.openxmlformats.org/markup-compatibility/2006">
      <mc:Choice Requires="x14">
        <control shapeId="1135" r:id="rId109" name="VarPreSelect12">
          <controlPr defaultSize="0" autoLine="0" r:id="rId5">
            <anchor moveWithCells="1">
              <from>
                <xdr:col>3</xdr:col>
                <xdr:colOff>247650</xdr:colOff>
                <xdr:row>14</xdr:row>
                <xdr:rowOff>19050</xdr:rowOff>
              </from>
              <to>
                <xdr:col>3</xdr:col>
                <xdr:colOff>409575</xdr:colOff>
                <xdr:row>14</xdr:row>
                <xdr:rowOff>142875</xdr:rowOff>
              </to>
            </anchor>
          </controlPr>
        </control>
      </mc:Choice>
      <mc:Fallback>
        <control shapeId="1135" r:id="rId109" name="VarPreSelect12"/>
      </mc:Fallback>
    </mc:AlternateContent>
    <mc:AlternateContent xmlns:mc="http://schemas.openxmlformats.org/markup-compatibility/2006">
      <mc:Choice Requires="x14">
        <control shapeId="1136" r:id="rId110" name="VarPreSelect13">
          <controlPr defaultSize="0" autoLine="0" r:id="rId5">
            <anchor moveWithCells="1">
              <from>
                <xdr:col>3</xdr:col>
                <xdr:colOff>247650</xdr:colOff>
                <xdr:row>15</xdr:row>
                <xdr:rowOff>19050</xdr:rowOff>
              </from>
              <to>
                <xdr:col>3</xdr:col>
                <xdr:colOff>409575</xdr:colOff>
                <xdr:row>15</xdr:row>
                <xdr:rowOff>142875</xdr:rowOff>
              </to>
            </anchor>
          </controlPr>
        </control>
      </mc:Choice>
      <mc:Fallback>
        <control shapeId="1136" r:id="rId110" name="VarPreSelect13"/>
      </mc:Fallback>
    </mc:AlternateContent>
    <mc:AlternateContent xmlns:mc="http://schemas.openxmlformats.org/markup-compatibility/2006">
      <mc:Choice Requires="x14">
        <control shapeId="1137" r:id="rId111" name="VarPreSelect14">
          <controlPr defaultSize="0" autoLine="0" r:id="rId5">
            <anchor moveWithCells="1">
              <from>
                <xdr:col>3</xdr:col>
                <xdr:colOff>247650</xdr:colOff>
                <xdr:row>16</xdr:row>
                <xdr:rowOff>19050</xdr:rowOff>
              </from>
              <to>
                <xdr:col>3</xdr:col>
                <xdr:colOff>409575</xdr:colOff>
                <xdr:row>16</xdr:row>
                <xdr:rowOff>142875</xdr:rowOff>
              </to>
            </anchor>
          </controlPr>
        </control>
      </mc:Choice>
      <mc:Fallback>
        <control shapeId="1137" r:id="rId111" name="VarPreSelect14"/>
      </mc:Fallback>
    </mc:AlternateContent>
    <mc:AlternateContent xmlns:mc="http://schemas.openxmlformats.org/markup-compatibility/2006">
      <mc:Choice Requires="x14">
        <control shapeId="1138" r:id="rId112" name="VarPreSelect15">
          <controlPr defaultSize="0" autoLine="0" r:id="rId5">
            <anchor moveWithCells="1">
              <from>
                <xdr:col>3</xdr:col>
                <xdr:colOff>247650</xdr:colOff>
                <xdr:row>17</xdr:row>
                <xdr:rowOff>19050</xdr:rowOff>
              </from>
              <to>
                <xdr:col>3</xdr:col>
                <xdr:colOff>409575</xdr:colOff>
                <xdr:row>17</xdr:row>
                <xdr:rowOff>142875</xdr:rowOff>
              </to>
            </anchor>
          </controlPr>
        </control>
      </mc:Choice>
      <mc:Fallback>
        <control shapeId="1138" r:id="rId112" name="VarPreSelect15"/>
      </mc:Fallback>
    </mc:AlternateContent>
    <mc:AlternateContent xmlns:mc="http://schemas.openxmlformats.org/markup-compatibility/2006">
      <mc:Choice Requires="x14">
        <control shapeId="1139" r:id="rId113" name="VarPreSelect16">
          <controlPr defaultSize="0" autoLine="0" r:id="rId5">
            <anchor moveWithCells="1">
              <from>
                <xdr:col>3</xdr:col>
                <xdr:colOff>247650</xdr:colOff>
                <xdr:row>18</xdr:row>
                <xdr:rowOff>19050</xdr:rowOff>
              </from>
              <to>
                <xdr:col>3</xdr:col>
                <xdr:colOff>409575</xdr:colOff>
                <xdr:row>18</xdr:row>
                <xdr:rowOff>142875</xdr:rowOff>
              </to>
            </anchor>
          </controlPr>
        </control>
      </mc:Choice>
      <mc:Fallback>
        <control shapeId="1139" r:id="rId113" name="VarPreSelect16"/>
      </mc:Fallback>
    </mc:AlternateContent>
    <mc:AlternateContent xmlns:mc="http://schemas.openxmlformats.org/markup-compatibility/2006">
      <mc:Choice Requires="x14">
        <control shapeId="1140" r:id="rId114" name="VarPreSelect17">
          <controlPr defaultSize="0" autoLine="0" r:id="rId5">
            <anchor moveWithCells="1">
              <from>
                <xdr:col>3</xdr:col>
                <xdr:colOff>247650</xdr:colOff>
                <xdr:row>19</xdr:row>
                <xdr:rowOff>19050</xdr:rowOff>
              </from>
              <to>
                <xdr:col>3</xdr:col>
                <xdr:colOff>409575</xdr:colOff>
                <xdr:row>19</xdr:row>
                <xdr:rowOff>142875</xdr:rowOff>
              </to>
            </anchor>
          </controlPr>
        </control>
      </mc:Choice>
      <mc:Fallback>
        <control shapeId="1140" r:id="rId114" name="VarPreSelect17"/>
      </mc:Fallback>
    </mc:AlternateContent>
    <mc:AlternateContent xmlns:mc="http://schemas.openxmlformats.org/markup-compatibility/2006">
      <mc:Choice Requires="x14">
        <control shapeId="1141" r:id="rId115" name="VarPreSelect18">
          <controlPr defaultSize="0" autoLine="0" r:id="rId5">
            <anchor moveWithCells="1">
              <from>
                <xdr:col>3</xdr:col>
                <xdr:colOff>247650</xdr:colOff>
                <xdr:row>20</xdr:row>
                <xdr:rowOff>19050</xdr:rowOff>
              </from>
              <to>
                <xdr:col>3</xdr:col>
                <xdr:colOff>409575</xdr:colOff>
                <xdr:row>20</xdr:row>
                <xdr:rowOff>142875</xdr:rowOff>
              </to>
            </anchor>
          </controlPr>
        </control>
      </mc:Choice>
      <mc:Fallback>
        <control shapeId="1141" r:id="rId115" name="VarPreSelect18"/>
      </mc:Fallback>
    </mc:AlternateContent>
    <mc:AlternateContent xmlns:mc="http://schemas.openxmlformats.org/markup-compatibility/2006">
      <mc:Choice Requires="x14">
        <control shapeId="1142" r:id="rId116" name="VarPreSelect19">
          <controlPr defaultSize="0" autoLine="0" r:id="rId5">
            <anchor moveWithCells="1">
              <from>
                <xdr:col>3</xdr:col>
                <xdr:colOff>247650</xdr:colOff>
                <xdr:row>21</xdr:row>
                <xdr:rowOff>19050</xdr:rowOff>
              </from>
              <to>
                <xdr:col>3</xdr:col>
                <xdr:colOff>409575</xdr:colOff>
                <xdr:row>21</xdr:row>
                <xdr:rowOff>142875</xdr:rowOff>
              </to>
            </anchor>
          </controlPr>
        </control>
      </mc:Choice>
      <mc:Fallback>
        <control shapeId="1142" r:id="rId116" name="VarPreSelect19"/>
      </mc:Fallback>
    </mc:AlternateContent>
    <mc:AlternateContent xmlns:mc="http://schemas.openxmlformats.org/markup-compatibility/2006">
      <mc:Choice Requires="x14">
        <control shapeId="1143" r:id="rId117" name="VarPreSelect20">
          <controlPr defaultSize="0" autoLine="0" r:id="rId5">
            <anchor moveWithCells="1">
              <from>
                <xdr:col>3</xdr:col>
                <xdr:colOff>247650</xdr:colOff>
                <xdr:row>22</xdr:row>
                <xdr:rowOff>19050</xdr:rowOff>
              </from>
              <to>
                <xdr:col>3</xdr:col>
                <xdr:colOff>409575</xdr:colOff>
                <xdr:row>22</xdr:row>
                <xdr:rowOff>142875</xdr:rowOff>
              </to>
            </anchor>
          </controlPr>
        </control>
      </mc:Choice>
      <mc:Fallback>
        <control shapeId="1143" r:id="rId117" name="VarPreSelect20"/>
      </mc:Fallback>
    </mc:AlternateContent>
    <mc:AlternateContent xmlns:mc="http://schemas.openxmlformats.org/markup-compatibility/2006">
      <mc:Choice Requires="x14">
        <control shapeId="1144" r:id="rId118" name="VarPreSelect21">
          <controlPr defaultSize="0" autoLine="0" r:id="rId5">
            <anchor moveWithCells="1">
              <from>
                <xdr:col>3</xdr:col>
                <xdr:colOff>247650</xdr:colOff>
                <xdr:row>23</xdr:row>
                <xdr:rowOff>19050</xdr:rowOff>
              </from>
              <to>
                <xdr:col>3</xdr:col>
                <xdr:colOff>409575</xdr:colOff>
                <xdr:row>23</xdr:row>
                <xdr:rowOff>142875</xdr:rowOff>
              </to>
            </anchor>
          </controlPr>
        </control>
      </mc:Choice>
      <mc:Fallback>
        <control shapeId="1144" r:id="rId118" name="VarPreSelect21"/>
      </mc:Fallback>
    </mc:AlternateContent>
    <mc:AlternateContent xmlns:mc="http://schemas.openxmlformats.org/markup-compatibility/2006">
      <mc:Choice Requires="x14">
        <control shapeId="1145" r:id="rId119" name="VarPreSelect22">
          <controlPr defaultSize="0" autoLine="0" r:id="rId5">
            <anchor moveWithCells="1">
              <from>
                <xdr:col>3</xdr:col>
                <xdr:colOff>247650</xdr:colOff>
                <xdr:row>24</xdr:row>
                <xdr:rowOff>19050</xdr:rowOff>
              </from>
              <to>
                <xdr:col>3</xdr:col>
                <xdr:colOff>409575</xdr:colOff>
                <xdr:row>24</xdr:row>
                <xdr:rowOff>142875</xdr:rowOff>
              </to>
            </anchor>
          </controlPr>
        </control>
      </mc:Choice>
      <mc:Fallback>
        <control shapeId="1145" r:id="rId119" name="VarPreSelect22"/>
      </mc:Fallback>
    </mc:AlternateContent>
    <mc:AlternateContent xmlns:mc="http://schemas.openxmlformats.org/markup-compatibility/2006">
      <mc:Choice Requires="x14">
        <control shapeId="1146" r:id="rId120" name="VarPreSelect23">
          <controlPr defaultSize="0" autoLine="0" r:id="rId5">
            <anchor moveWithCells="1">
              <from>
                <xdr:col>3</xdr:col>
                <xdr:colOff>247650</xdr:colOff>
                <xdr:row>25</xdr:row>
                <xdr:rowOff>19050</xdr:rowOff>
              </from>
              <to>
                <xdr:col>3</xdr:col>
                <xdr:colOff>409575</xdr:colOff>
                <xdr:row>25</xdr:row>
                <xdr:rowOff>142875</xdr:rowOff>
              </to>
            </anchor>
          </controlPr>
        </control>
      </mc:Choice>
      <mc:Fallback>
        <control shapeId="1146" r:id="rId120" name="VarPreSelect23"/>
      </mc:Fallback>
    </mc:AlternateContent>
    <mc:AlternateContent xmlns:mc="http://schemas.openxmlformats.org/markup-compatibility/2006">
      <mc:Choice Requires="x14">
        <control shapeId="1147" r:id="rId121" name="VarPreSelect24">
          <controlPr defaultSize="0" autoLine="0" r:id="rId5">
            <anchor moveWithCells="1">
              <from>
                <xdr:col>3</xdr:col>
                <xdr:colOff>247650</xdr:colOff>
                <xdr:row>26</xdr:row>
                <xdr:rowOff>19050</xdr:rowOff>
              </from>
              <to>
                <xdr:col>3</xdr:col>
                <xdr:colOff>409575</xdr:colOff>
                <xdr:row>26</xdr:row>
                <xdr:rowOff>142875</xdr:rowOff>
              </to>
            </anchor>
          </controlPr>
        </control>
      </mc:Choice>
      <mc:Fallback>
        <control shapeId="1147" r:id="rId121" name="VarPreSelect24"/>
      </mc:Fallback>
    </mc:AlternateContent>
    <mc:AlternateContent xmlns:mc="http://schemas.openxmlformats.org/markup-compatibility/2006">
      <mc:Choice Requires="x14">
        <control shapeId="1148" r:id="rId122" name="VarPreSelect25">
          <controlPr defaultSize="0" autoLine="0" r:id="rId5">
            <anchor moveWithCells="1">
              <from>
                <xdr:col>3</xdr:col>
                <xdr:colOff>247650</xdr:colOff>
                <xdr:row>27</xdr:row>
                <xdr:rowOff>19050</xdr:rowOff>
              </from>
              <to>
                <xdr:col>3</xdr:col>
                <xdr:colOff>409575</xdr:colOff>
                <xdr:row>27</xdr:row>
                <xdr:rowOff>142875</xdr:rowOff>
              </to>
            </anchor>
          </controlPr>
        </control>
      </mc:Choice>
      <mc:Fallback>
        <control shapeId="1148" r:id="rId122" name="VarPreSelect25"/>
      </mc:Fallback>
    </mc:AlternateContent>
    <mc:AlternateContent xmlns:mc="http://schemas.openxmlformats.org/markup-compatibility/2006">
      <mc:Choice Requires="x14">
        <control shapeId="1149" r:id="rId123" name="VarPreSelect26">
          <controlPr defaultSize="0" autoLine="0" r:id="rId5">
            <anchor moveWithCells="1">
              <from>
                <xdr:col>3</xdr:col>
                <xdr:colOff>247650</xdr:colOff>
                <xdr:row>28</xdr:row>
                <xdr:rowOff>19050</xdr:rowOff>
              </from>
              <to>
                <xdr:col>3</xdr:col>
                <xdr:colOff>409575</xdr:colOff>
                <xdr:row>28</xdr:row>
                <xdr:rowOff>142875</xdr:rowOff>
              </to>
            </anchor>
          </controlPr>
        </control>
      </mc:Choice>
      <mc:Fallback>
        <control shapeId="1149" r:id="rId123" name="VarPreSelect26"/>
      </mc:Fallback>
    </mc:AlternateContent>
    <mc:AlternateContent xmlns:mc="http://schemas.openxmlformats.org/markup-compatibility/2006">
      <mc:Choice Requires="x14">
        <control shapeId="1150" r:id="rId124" name="VarPreSelect27">
          <controlPr defaultSize="0" autoLine="0" r:id="rId5">
            <anchor moveWithCells="1">
              <from>
                <xdr:col>3</xdr:col>
                <xdr:colOff>247650</xdr:colOff>
                <xdr:row>29</xdr:row>
                <xdr:rowOff>19050</xdr:rowOff>
              </from>
              <to>
                <xdr:col>3</xdr:col>
                <xdr:colOff>409575</xdr:colOff>
                <xdr:row>29</xdr:row>
                <xdr:rowOff>142875</xdr:rowOff>
              </to>
            </anchor>
          </controlPr>
        </control>
      </mc:Choice>
      <mc:Fallback>
        <control shapeId="1150" r:id="rId124" name="VarPreSelect27"/>
      </mc:Fallback>
    </mc:AlternateContent>
    <mc:AlternateContent xmlns:mc="http://schemas.openxmlformats.org/markup-compatibility/2006">
      <mc:Choice Requires="x14">
        <control shapeId="1151" r:id="rId125" name="VarPreSelect28">
          <controlPr defaultSize="0" autoLine="0" r:id="rId5">
            <anchor moveWithCells="1">
              <from>
                <xdr:col>3</xdr:col>
                <xdr:colOff>247650</xdr:colOff>
                <xdr:row>30</xdr:row>
                <xdr:rowOff>19050</xdr:rowOff>
              </from>
              <to>
                <xdr:col>3</xdr:col>
                <xdr:colOff>409575</xdr:colOff>
                <xdr:row>30</xdr:row>
                <xdr:rowOff>142875</xdr:rowOff>
              </to>
            </anchor>
          </controlPr>
        </control>
      </mc:Choice>
      <mc:Fallback>
        <control shapeId="1151" r:id="rId125" name="VarPreSelect28"/>
      </mc:Fallback>
    </mc:AlternateContent>
    <mc:AlternateContent xmlns:mc="http://schemas.openxmlformats.org/markup-compatibility/2006">
      <mc:Choice Requires="x14">
        <control shapeId="1152" r:id="rId126" name="VarPreSelect29">
          <controlPr defaultSize="0" autoLine="0" r:id="rId5">
            <anchor moveWithCells="1">
              <from>
                <xdr:col>3</xdr:col>
                <xdr:colOff>247650</xdr:colOff>
                <xdr:row>31</xdr:row>
                <xdr:rowOff>19050</xdr:rowOff>
              </from>
              <to>
                <xdr:col>3</xdr:col>
                <xdr:colOff>409575</xdr:colOff>
                <xdr:row>31</xdr:row>
                <xdr:rowOff>142875</xdr:rowOff>
              </to>
            </anchor>
          </controlPr>
        </control>
      </mc:Choice>
      <mc:Fallback>
        <control shapeId="1152" r:id="rId126" name="VarPreSelect29"/>
      </mc:Fallback>
    </mc:AlternateContent>
    <mc:AlternateContent xmlns:mc="http://schemas.openxmlformats.org/markup-compatibility/2006">
      <mc:Choice Requires="x14">
        <control shapeId="1153" r:id="rId127" name="VarPreSelect30">
          <controlPr defaultSize="0" autoLine="0" r:id="rId5">
            <anchor moveWithCells="1">
              <from>
                <xdr:col>3</xdr:col>
                <xdr:colOff>247650</xdr:colOff>
                <xdr:row>32</xdr:row>
                <xdr:rowOff>19050</xdr:rowOff>
              </from>
              <to>
                <xdr:col>3</xdr:col>
                <xdr:colOff>409575</xdr:colOff>
                <xdr:row>32</xdr:row>
                <xdr:rowOff>142875</xdr:rowOff>
              </to>
            </anchor>
          </controlPr>
        </control>
      </mc:Choice>
      <mc:Fallback>
        <control shapeId="1153" r:id="rId127" name="VarPreSelect30"/>
      </mc:Fallback>
    </mc:AlternateContent>
    <mc:AlternateContent xmlns:mc="http://schemas.openxmlformats.org/markup-compatibility/2006">
      <mc:Choice Requires="x14">
        <control shapeId="1154" r:id="rId128" name="VarPreSelect31">
          <controlPr defaultSize="0" autoLine="0" r:id="rId5">
            <anchor moveWithCells="1">
              <from>
                <xdr:col>3</xdr:col>
                <xdr:colOff>247650</xdr:colOff>
                <xdr:row>33</xdr:row>
                <xdr:rowOff>19050</xdr:rowOff>
              </from>
              <to>
                <xdr:col>3</xdr:col>
                <xdr:colOff>409575</xdr:colOff>
                <xdr:row>33</xdr:row>
                <xdr:rowOff>142875</xdr:rowOff>
              </to>
            </anchor>
          </controlPr>
        </control>
      </mc:Choice>
      <mc:Fallback>
        <control shapeId="1154" r:id="rId128" name="VarPreSelect31"/>
      </mc:Fallback>
    </mc:AlternateContent>
    <mc:AlternateContent xmlns:mc="http://schemas.openxmlformats.org/markup-compatibility/2006">
      <mc:Choice Requires="x14">
        <control shapeId="1155" r:id="rId129" name="VarPreSelect32">
          <controlPr defaultSize="0" autoLine="0" r:id="rId5">
            <anchor moveWithCells="1">
              <from>
                <xdr:col>3</xdr:col>
                <xdr:colOff>247650</xdr:colOff>
                <xdr:row>34</xdr:row>
                <xdr:rowOff>19050</xdr:rowOff>
              </from>
              <to>
                <xdr:col>3</xdr:col>
                <xdr:colOff>409575</xdr:colOff>
                <xdr:row>34</xdr:row>
                <xdr:rowOff>142875</xdr:rowOff>
              </to>
            </anchor>
          </controlPr>
        </control>
      </mc:Choice>
      <mc:Fallback>
        <control shapeId="1155" r:id="rId129" name="VarPreSelect32"/>
      </mc:Fallback>
    </mc:AlternateContent>
    <mc:AlternateContent xmlns:mc="http://schemas.openxmlformats.org/markup-compatibility/2006">
      <mc:Choice Requires="x14">
        <control shapeId="1156" r:id="rId130" name="VarPreSelect33">
          <controlPr defaultSize="0" autoLine="0" r:id="rId5">
            <anchor moveWithCells="1">
              <from>
                <xdr:col>3</xdr:col>
                <xdr:colOff>247650</xdr:colOff>
                <xdr:row>35</xdr:row>
                <xdr:rowOff>19050</xdr:rowOff>
              </from>
              <to>
                <xdr:col>3</xdr:col>
                <xdr:colOff>409575</xdr:colOff>
                <xdr:row>35</xdr:row>
                <xdr:rowOff>142875</xdr:rowOff>
              </to>
            </anchor>
          </controlPr>
        </control>
      </mc:Choice>
      <mc:Fallback>
        <control shapeId="1156" r:id="rId130" name="VarPreSelect33"/>
      </mc:Fallback>
    </mc:AlternateContent>
    <mc:AlternateContent xmlns:mc="http://schemas.openxmlformats.org/markup-compatibility/2006">
      <mc:Choice Requires="x14">
        <control shapeId="1157" r:id="rId131" name="VarPreSelect34">
          <controlPr defaultSize="0" autoLine="0" r:id="rId5">
            <anchor moveWithCells="1">
              <from>
                <xdr:col>3</xdr:col>
                <xdr:colOff>247650</xdr:colOff>
                <xdr:row>36</xdr:row>
                <xdr:rowOff>19050</xdr:rowOff>
              </from>
              <to>
                <xdr:col>3</xdr:col>
                <xdr:colOff>409575</xdr:colOff>
                <xdr:row>36</xdr:row>
                <xdr:rowOff>142875</xdr:rowOff>
              </to>
            </anchor>
          </controlPr>
        </control>
      </mc:Choice>
      <mc:Fallback>
        <control shapeId="1157" r:id="rId131" name="VarPreSelect34"/>
      </mc:Fallback>
    </mc:AlternateContent>
    <mc:AlternateContent xmlns:mc="http://schemas.openxmlformats.org/markup-compatibility/2006">
      <mc:Choice Requires="x14">
        <control shapeId="1158" r:id="rId132" name="VarPreSelect35">
          <controlPr defaultSize="0" autoLine="0" r:id="rId5">
            <anchor moveWithCells="1">
              <from>
                <xdr:col>3</xdr:col>
                <xdr:colOff>247650</xdr:colOff>
                <xdr:row>37</xdr:row>
                <xdr:rowOff>19050</xdr:rowOff>
              </from>
              <to>
                <xdr:col>3</xdr:col>
                <xdr:colOff>409575</xdr:colOff>
                <xdr:row>37</xdr:row>
                <xdr:rowOff>142875</xdr:rowOff>
              </to>
            </anchor>
          </controlPr>
        </control>
      </mc:Choice>
      <mc:Fallback>
        <control shapeId="1158" r:id="rId132" name="VarPreSelect35"/>
      </mc:Fallback>
    </mc:AlternateContent>
    <mc:AlternateContent xmlns:mc="http://schemas.openxmlformats.org/markup-compatibility/2006">
      <mc:Choice Requires="x14">
        <control shapeId="1159" r:id="rId133" name="VarPreSelect36">
          <controlPr defaultSize="0" autoLine="0" r:id="rId5">
            <anchor moveWithCells="1">
              <from>
                <xdr:col>3</xdr:col>
                <xdr:colOff>247650</xdr:colOff>
                <xdr:row>38</xdr:row>
                <xdr:rowOff>19050</xdr:rowOff>
              </from>
              <to>
                <xdr:col>3</xdr:col>
                <xdr:colOff>409575</xdr:colOff>
                <xdr:row>38</xdr:row>
                <xdr:rowOff>142875</xdr:rowOff>
              </to>
            </anchor>
          </controlPr>
        </control>
      </mc:Choice>
      <mc:Fallback>
        <control shapeId="1159" r:id="rId133" name="VarPreSelect36"/>
      </mc:Fallback>
    </mc:AlternateContent>
    <mc:AlternateContent xmlns:mc="http://schemas.openxmlformats.org/markup-compatibility/2006">
      <mc:Choice Requires="x14">
        <control shapeId="1160" r:id="rId134" name="VarPreSelect37">
          <controlPr defaultSize="0" autoLine="0" r:id="rId5">
            <anchor moveWithCells="1">
              <from>
                <xdr:col>3</xdr:col>
                <xdr:colOff>247650</xdr:colOff>
                <xdr:row>39</xdr:row>
                <xdr:rowOff>19050</xdr:rowOff>
              </from>
              <to>
                <xdr:col>3</xdr:col>
                <xdr:colOff>409575</xdr:colOff>
                <xdr:row>39</xdr:row>
                <xdr:rowOff>142875</xdr:rowOff>
              </to>
            </anchor>
          </controlPr>
        </control>
      </mc:Choice>
      <mc:Fallback>
        <control shapeId="1160" r:id="rId134" name="VarPreSelect37"/>
      </mc:Fallback>
    </mc:AlternateContent>
    <mc:AlternateContent xmlns:mc="http://schemas.openxmlformats.org/markup-compatibility/2006">
      <mc:Choice Requires="x14">
        <control shapeId="1161" r:id="rId135" name="VarPreSelect38">
          <controlPr defaultSize="0" autoLine="0" r:id="rId5">
            <anchor moveWithCells="1">
              <from>
                <xdr:col>3</xdr:col>
                <xdr:colOff>247650</xdr:colOff>
                <xdr:row>40</xdr:row>
                <xdr:rowOff>19050</xdr:rowOff>
              </from>
              <to>
                <xdr:col>3</xdr:col>
                <xdr:colOff>409575</xdr:colOff>
                <xdr:row>40</xdr:row>
                <xdr:rowOff>142875</xdr:rowOff>
              </to>
            </anchor>
          </controlPr>
        </control>
      </mc:Choice>
      <mc:Fallback>
        <control shapeId="1161" r:id="rId135" name="VarPreSelect38"/>
      </mc:Fallback>
    </mc:AlternateContent>
    <mc:AlternateContent xmlns:mc="http://schemas.openxmlformats.org/markup-compatibility/2006">
      <mc:Choice Requires="x14">
        <control shapeId="1162" r:id="rId136" name="VarPreSelect39">
          <controlPr defaultSize="0" autoLine="0" r:id="rId5">
            <anchor moveWithCells="1">
              <from>
                <xdr:col>3</xdr:col>
                <xdr:colOff>247650</xdr:colOff>
                <xdr:row>41</xdr:row>
                <xdr:rowOff>19050</xdr:rowOff>
              </from>
              <to>
                <xdr:col>3</xdr:col>
                <xdr:colOff>409575</xdr:colOff>
                <xdr:row>41</xdr:row>
                <xdr:rowOff>142875</xdr:rowOff>
              </to>
            </anchor>
          </controlPr>
        </control>
      </mc:Choice>
      <mc:Fallback>
        <control shapeId="1162" r:id="rId136" name="VarPreSelect39"/>
      </mc:Fallback>
    </mc:AlternateContent>
    <mc:AlternateContent xmlns:mc="http://schemas.openxmlformats.org/markup-compatibility/2006">
      <mc:Choice Requires="x14">
        <control shapeId="1163" r:id="rId137" name="VarPreSelect40">
          <controlPr defaultSize="0" autoLine="0" r:id="rId5">
            <anchor moveWithCells="1">
              <from>
                <xdr:col>3</xdr:col>
                <xdr:colOff>247650</xdr:colOff>
                <xdr:row>42</xdr:row>
                <xdr:rowOff>19050</xdr:rowOff>
              </from>
              <to>
                <xdr:col>3</xdr:col>
                <xdr:colOff>409575</xdr:colOff>
                <xdr:row>42</xdr:row>
                <xdr:rowOff>142875</xdr:rowOff>
              </to>
            </anchor>
          </controlPr>
        </control>
      </mc:Choice>
      <mc:Fallback>
        <control shapeId="1163" r:id="rId137" name="VarPreSelect40"/>
      </mc:Fallback>
    </mc:AlternateContent>
    <mc:AlternateContent xmlns:mc="http://schemas.openxmlformats.org/markup-compatibility/2006">
      <mc:Choice Requires="x14">
        <control shapeId="1164" r:id="rId138" name="VarPreSelect41">
          <controlPr defaultSize="0" autoLine="0" r:id="rId5">
            <anchor moveWithCells="1">
              <from>
                <xdr:col>3</xdr:col>
                <xdr:colOff>247650</xdr:colOff>
                <xdr:row>43</xdr:row>
                <xdr:rowOff>19050</xdr:rowOff>
              </from>
              <to>
                <xdr:col>3</xdr:col>
                <xdr:colOff>409575</xdr:colOff>
                <xdr:row>43</xdr:row>
                <xdr:rowOff>142875</xdr:rowOff>
              </to>
            </anchor>
          </controlPr>
        </control>
      </mc:Choice>
      <mc:Fallback>
        <control shapeId="1164" r:id="rId138" name="VarPreSelect41"/>
      </mc:Fallback>
    </mc:AlternateContent>
    <mc:AlternateContent xmlns:mc="http://schemas.openxmlformats.org/markup-compatibility/2006">
      <mc:Choice Requires="x14">
        <control shapeId="1165" r:id="rId139" name="VarPreSelect42">
          <controlPr defaultSize="0" autoLine="0" r:id="rId5">
            <anchor moveWithCells="1">
              <from>
                <xdr:col>3</xdr:col>
                <xdr:colOff>247650</xdr:colOff>
                <xdr:row>44</xdr:row>
                <xdr:rowOff>19050</xdr:rowOff>
              </from>
              <to>
                <xdr:col>3</xdr:col>
                <xdr:colOff>409575</xdr:colOff>
                <xdr:row>44</xdr:row>
                <xdr:rowOff>142875</xdr:rowOff>
              </to>
            </anchor>
          </controlPr>
        </control>
      </mc:Choice>
      <mc:Fallback>
        <control shapeId="1165" r:id="rId139" name="VarPreSelect42"/>
      </mc:Fallback>
    </mc:AlternateContent>
    <mc:AlternateContent xmlns:mc="http://schemas.openxmlformats.org/markup-compatibility/2006">
      <mc:Choice Requires="x14">
        <control shapeId="1166" r:id="rId140" name="VarPreSelect43">
          <controlPr defaultSize="0" autoLine="0" r:id="rId5">
            <anchor moveWithCells="1">
              <from>
                <xdr:col>3</xdr:col>
                <xdr:colOff>247650</xdr:colOff>
                <xdr:row>45</xdr:row>
                <xdr:rowOff>19050</xdr:rowOff>
              </from>
              <to>
                <xdr:col>3</xdr:col>
                <xdr:colOff>409575</xdr:colOff>
                <xdr:row>45</xdr:row>
                <xdr:rowOff>142875</xdr:rowOff>
              </to>
            </anchor>
          </controlPr>
        </control>
      </mc:Choice>
      <mc:Fallback>
        <control shapeId="1166" r:id="rId140" name="VarPreSelect43"/>
      </mc:Fallback>
    </mc:AlternateContent>
    <mc:AlternateContent xmlns:mc="http://schemas.openxmlformats.org/markup-compatibility/2006">
      <mc:Choice Requires="x14">
        <control shapeId="1167" r:id="rId141" name="VarPreSelect44">
          <controlPr defaultSize="0" autoLine="0" r:id="rId5">
            <anchor moveWithCells="1">
              <from>
                <xdr:col>3</xdr:col>
                <xdr:colOff>247650</xdr:colOff>
                <xdr:row>46</xdr:row>
                <xdr:rowOff>19050</xdr:rowOff>
              </from>
              <to>
                <xdr:col>3</xdr:col>
                <xdr:colOff>409575</xdr:colOff>
                <xdr:row>46</xdr:row>
                <xdr:rowOff>142875</xdr:rowOff>
              </to>
            </anchor>
          </controlPr>
        </control>
      </mc:Choice>
      <mc:Fallback>
        <control shapeId="1167" r:id="rId141" name="VarPreSelect44"/>
      </mc:Fallback>
    </mc:AlternateContent>
    <mc:AlternateContent xmlns:mc="http://schemas.openxmlformats.org/markup-compatibility/2006">
      <mc:Choice Requires="x14">
        <control shapeId="1168" r:id="rId142" name="VarPreSelect45">
          <controlPr defaultSize="0" autoLine="0" r:id="rId5">
            <anchor moveWithCells="1">
              <from>
                <xdr:col>3</xdr:col>
                <xdr:colOff>247650</xdr:colOff>
                <xdr:row>47</xdr:row>
                <xdr:rowOff>19050</xdr:rowOff>
              </from>
              <to>
                <xdr:col>3</xdr:col>
                <xdr:colOff>409575</xdr:colOff>
                <xdr:row>47</xdr:row>
                <xdr:rowOff>142875</xdr:rowOff>
              </to>
            </anchor>
          </controlPr>
        </control>
      </mc:Choice>
      <mc:Fallback>
        <control shapeId="1168" r:id="rId142" name="VarPreSelect45"/>
      </mc:Fallback>
    </mc:AlternateContent>
    <mc:AlternateContent xmlns:mc="http://schemas.openxmlformats.org/markup-compatibility/2006">
      <mc:Choice Requires="x14">
        <control shapeId="1169" r:id="rId143" name="VarPreSelect46">
          <controlPr defaultSize="0" autoLine="0" r:id="rId5">
            <anchor moveWithCells="1">
              <from>
                <xdr:col>3</xdr:col>
                <xdr:colOff>247650</xdr:colOff>
                <xdr:row>48</xdr:row>
                <xdr:rowOff>19050</xdr:rowOff>
              </from>
              <to>
                <xdr:col>3</xdr:col>
                <xdr:colOff>409575</xdr:colOff>
                <xdr:row>48</xdr:row>
                <xdr:rowOff>142875</xdr:rowOff>
              </to>
            </anchor>
          </controlPr>
        </control>
      </mc:Choice>
      <mc:Fallback>
        <control shapeId="1169" r:id="rId143" name="VarPreSelect46"/>
      </mc:Fallback>
    </mc:AlternateContent>
    <mc:AlternateContent xmlns:mc="http://schemas.openxmlformats.org/markup-compatibility/2006">
      <mc:Choice Requires="x14">
        <control shapeId="1170" r:id="rId144" name="VarPreSelect47">
          <controlPr defaultSize="0" autoLine="0" r:id="rId5">
            <anchor moveWithCells="1">
              <from>
                <xdr:col>3</xdr:col>
                <xdr:colOff>247650</xdr:colOff>
                <xdr:row>49</xdr:row>
                <xdr:rowOff>19050</xdr:rowOff>
              </from>
              <to>
                <xdr:col>3</xdr:col>
                <xdr:colOff>409575</xdr:colOff>
                <xdr:row>49</xdr:row>
                <xdr:rowOff>142875</xdr:rowOff>
              </to>
            </anchor>
          </controlPr>
        </control>
      </mc:Choice>
      <mc:Fallback>
        <control shapeId="1170" r:id="rId144" name="VarPreSelect47"/>
      </mc:Fallback>
    </mc:AlternateContent>
    <mc:AlternateContent xmlns:mc="http://schemas.openxmlformats.org/markup-compatibility/2006">
      <mc:Choice Requires="x14">
        <control shapeId="1171" r:id="rId145" name="VarPreSelect48">
          <controlPr defaultSize="0" autoLine="0" r:id="rId5">
            <anchor moveWithCells="1">
              <from>
                <xdr:col>3</xdr:col>
                <xdr:colOff>247650</xdr:colOff>
                <xdr:row>50</xdr:row>
                <xdr:rowOff>19050</xdr:rowOff>
              </from>
              <to>
                <xdr:col>3</xdr:col>
                <xdr:colOff>409575</xdr:colOff>
                <xdr:row>50</xdr:row>
                <xdr:rowOff>142875</xdr:rowOff>
              </to>
            </anchor>
          </controlPr>
        </control>
      </mc:Choice>
      <mc:Fallback>
        <control shapeId="1171" r:id="rId145" name="VarPreSelect48"/>
      </mc:Fallback>
    </mc:AlternateContent>
    <mc:AlternateContent xmlns:mc="http://schemas.openxmlformats.org/markup-compatibility/2006">
      <mc:Choice Requires="x14">
        <control shapeId="1172" r:id="rId146" name="VarPreSelect49">
          <controlPr defaultSize="0" autoLine="0" r:id="rId5">
            <anchor moveWithCells="1">
              <from>
                <xdr:col>3</xdr:col>
                <xdr:colOff>247650</xdr:colOff>
                <xdr:row>51</xdr:row>
                <xdr:rowOff>19050</xdr:rowOff>
              </from>
              <to>
                <xdr:col>3</xdr:col>
                <xdr:colOff>409575</xdr:colOff>
                <xdr:row>51</xdr:row>
                <xdr:rowOff>142875</xdr:rowOff>
              </to>
            </anchor>
          </controlPr>
        </control>
      </mc:Choice>
      <mc:Fallback>
        <control shapeId="1172" r:id="rId146" name="VarPreSelect49"/>
      </mc:Fallback>
    </mc:AlternateContent>
    <mc:AlternateContent xmlns:mc="http://schemas.openxmlformats.org/markup-compatibility/2006">
      <mc:Choice Requires="x14">
        <control shapeId="1173" r:id="rId147" name="VarPreSelect50">
          <controlPr defaultSize="0" autoLine="0" r:id="rId5">
            <anchor moveWithCells="1">
              <from>
                <xdr:col>3</xdr:col>
                <xdr:colOff>247650</xdr:colOff>
                <xdr:row>52</xdr:row>
                <xdr:rowOff>19050</xdr:rowOff>
              </from>
              <to>
                <xdr:col>3</xdr:col>
                <xdr:colOff>409575</xdr:colOff>
                <xdr:row>52</xdr:row>
                <xdr:rowOff>142875</xdr:rowOff>
              </to>
            </anchor>
          </controlPr>
        </control>
      </mc:Choice>
      <mc:Fallback>
        <control shapeId="1173" r:id="rId147" name="VarPreSelect50"/>
      </mc:Fallback>
    </mc:AlternateContent>
    <mc:AlternateContent xmlns:mc="http://schemas.openxmlformats.org/markup-compatibility/2006">
      <mc:Choice Requires="x14">
        <control shapeId="1174" r:id="rId148" name="VarPreSelect51">
          <controlPr defaultSize="0" autoLine="0" r:id="rId5">
            <anchor moveWithCells="1">
              <from>
                <xdr:col>3</xdr:col>
                <xdr:colOff>247650</xdr:colOff>
                <xdr:row>53</xdr:row>
                <xdr:rowOff>19050</xdr:rowOff>
              </from>
              <to>
                <xdr:col>3</xdr:col>
                <xdr:colOff>409575</xdr:colOff>
                <xdr:row>53</xdr:row>
                <xdr:rowOff>142875</xdr:rowOff>
              </to>
            </anchor>
          </controlPr>
        </control>
      </mc:Choice>
      <mc:Fallback>
        <control shapeId="1174" r:id="rId148" name="VarPreSelect51"/>
      </mc:Fallback>
    </mc:AlternateContent>
    <mc:AlternateContent xmlns:mc="http://schemas.openxmlformats.org/markup-compatibility/2006">
      <mc:Choice Requires="x14">
        <control shapeId="1175" r:id="rId149" name="VarPreSelect52">
          <controlPr defaultSize="0" autoLine="0" r:id="rId5">
            <anchor moveWithCells="1">
              <from>
                <xdr:col>3</xdr:col>
                <xdr:colOff>247650</xdr:colOff>
                <xdr:row>54</xdr:row>
                <xdr:rowOff>19050</xdr:rowOff>
              </from>
              <to>
                <xdr:col>3</xdr:col>
                <xdr:colOff>409575</xdr:colOff>
                <xdr:row>54</xdr:row>
                <xdr:rowOff>142875</xdr:rowOff>
              </to>
            </anchor>
          </controlPr>
        </control>
      </mc:Choice>
      <mc:Fallback>
        <control shapeId="1175" r:id="rId149" name="VarPreSelect52"/>
      </mc:Fallback>
    </mc:AlternateContent>
    <mc:AlternateContent xmlns:mc="http://schemas.openxmlformats.org/markup-compatibility/2006">
      <mc:Choice Requires="x14">
        <control shapeId="1176" r:id="rId150" name="VarPreSelect53">
          <controlPr defaultSize="0" autoLine="0" r:id="rId5">
            <anchor moveWithCells="1">
              <from>
                <xdr:col>3</xdr:col>
                <xdr:colOff>247650</xdr:colOff>
                <xdr:row>55</xdr:row>
                <xdr:rowOff>19050</xdr:rowOff>
              </from>
              <to>
                <xdr:col>3</xdr:col>
                <xdr:colOff>409575</xdr:colOff>
                <xdr:row>55</xdr:row>
                <xdr:rowOff>142875</xdr:rowOff>
              </to>
            </anchor>
          </controlPr>
        </control>
      </mc:Choice>
      <mc:Fallback>
        <control shapeId="1176" r:id="rId150" name="VarPreSelect53"/>
      </mc:Fallback>
    </mc:AlternateContent>
    <mc:AlternateContent xmlns:mc="http://schemas.openxmlformats.org/markup-compatibility/2006">
      <mc:Choice Requires="x14">
        <control shapeId="1177" r:id="rId151" name="VarPreSelect54">
          <controlPr defaultSize="0" autoLine="0" r:id="rId5">
            <anchor moveWithCells="1">
              <from>
                <xdr:col>3</xdr:col>
                <xdr:colOff>247650</xdr:colOff>
                <xdr:row>56</xdr:row>
                <xdr:rowOff>19050</xdr:rowOff>
              </from>
              <to>
                <xdr:col>3</xdr:col>
                <xdr:colOff>409575</xdr:colOff>
                <xdr:row>56</xdr:row>
                <xdr:rowOff>142875</xdr:rowOff>
              </to>
            </anchor>
          </controlPr>
        </control>
      </mc:Choice>
      <mc:Fallback>
        <control shapeId="1177" r:id="rId151" name="VarPreSelect54"/>
      </mc:Fallback>
    </mc:AlternateContent>
    <mc:AlternateContent xmlns:mc="http://schemas.openxmlformats.org/markup-compatibility/2006">
      <mc:Choice Requires="x14">
        <control shapeId="1178" r:id="rId152" name="VarPreSelect55">
          <controlPr defaultSize="0" autoLine="0" r:id="rId5">
            <anchor moveWithCells="1">
              <from>
                <xdr:col>3</xdr:col>
                <xdr:colOff>247650</xdr:colOff>
                <xdr:row>57</xdr:row>
                <xdr:rowOff>19050</xdr:rowOff>
              </from>
              <to>
                <xdr:col>3</xdr:col>
                <xdr:colOff>409575</xdr:colOff>
                <xdr:row>57</xdr:row>
                <xdr:rowOff>142875</xdr:rowOff>
              </to>
            </anchor>
          </controlPr>
        </control>
      </mc:Choice>
      <mc:Fallback>
        <control shapeId="1178" r:id="rId152" name="VarPreSelect55"/>
      </mc:Fallback>
    </mc:AlternateContent>
    <mc:AlternateContent xmlns:mc="http://schemas.openxmlformats.org/markup-compatibility/2006">
      <mc:Choice Requires="x14">
        <control shapeId="1179" r:id="rId153" name="VarPreSelect56">
          <controlPr defaultSize="0" autoLine="0" r:id="rId5">
            <anchor moveWithCells="1">
              <from>
                <xdr:col>3</xdr:col>
                <xdr:colOff>247650</xdr:colOff>
                <xdr:row>58</xdr:row>
                <xdr:rowOff>19050</xdr:rowOff>
              </from>
              <to>
                <xdr:col>3</xdr:col>
                <xdr:colOff>409575</xdr:colOff>
                <xdr:row>58</xdr:row>
                <xdr:rowOff>142875</xdr:rowOff>
              </to>
            </anchor>
          </controlPr>
        </control>
      </mc:Choice>
      <mc:Fallback>
        <control shapeId="1179" r:id="rId153" name="VarPreSelect56"/>
      </mc:Fallback>
    </mc:AlternateContent>
    <mc:AlternateContent xmlns:mc="http://schemas.openxmlformats.org/markup-compatibility/2006">
      <mc:Choice Requires="x14">
        <control shapeId="1180" r:id="rId154" name="VarPreSelect57">
          <controlPr defaultSize="0" autoLine="0" r:id="rId5">
            <anchor moveWithCells="1">
              <from>
                <xdr:col>3</xdr:col>
                <xdr:colOff>247650</xdr:colOff>
                <xdr:row>59</xdr:row>
                <xdr:rowOff>19050</xdr:rowOff>
              </from>
              <to>
                <xdr:col>3</xdr:col>
                <xdr:colOff>409575</xdr:colOff>
                <xdr:row>59</xdr:row>
                <xdr:rowOff>142875</xdr:rowOff>
              </to>
            </anchor>
          </controlPr>
        </control>
      </mc:Choice>
      <mc:Fallback>
        <control shapeId="1180" r:id="rId154" name="VarPreSelect57"/>
      </mc:Fallback>
    </mc:AlternateContent>
    <mc:AlternateContent xmlns:mc="http://schemas.openxmlformats.org/markup-compatibility/2006">
      <mc:Choice Requires="x14">
        <control shapeId="1181" r:id="rId155" name="VarPreSelect58">
          <controlPr defaultSize="0" autoLine="0" r:id="rId5">
            <anchor moveWithCells="1">
              <from>
                <xdr:col>3</xdr:col>
                <xdr:colOff>247650</xdr:colOff>
                <xdr:row>60</xdr:row>
                <xdr:rowOff>19050</xdr:rowOff>
              </from>
              <to>
                <xdr:col>3</xdr:col>
                <xdr:colOff>409575</xdr:colOff>
                <xdr:row>60</xdr:row>
                <xdr:rowOff>142875</xdr:rowOff>
              </to>
            </anchor>
          </controlPr>
        </control>
      </mc:Choice>
      <mc:Fallback>
        <control shapeId="1181" r:id="rId155" name="VarPreSelect58"/>
      </mc:Fallback>
    </mc:AlternateContent>
    <mc:AlternateContent xmlns:mc="http://schemas.openxmlformats.org/markup-compatibility/2006">
      <mc:Choice Requires="x14">
        <control shapeId="1182" r:id="rId156" name="VarPreSelect59">
          <controlPr defaultSize="0" autoLine="0" r:id="rId5">
            <anchor moveWithCells="1">
              <from>
                <xdr:col>3</xdr:col>
                <xdr:colOff>247650</xdr:colOff>
                <xdr:row>61</xdr:row>
                <xdr:rowOff>19050</xdr:rowOff>
              </from>
              <to>
                <xdr:col>3</xdr:col>
                <xdr:colOff>409575</xdr:colOff>
                <xdr:row>61</xdr:row>
                <xdr:rowOff>142875</xdr:rowOff>
              </to>
            </anchor>
          </controlPr>
        </control>
      </mc:Choice>
      <mc:Fallback>
        <control shapeId="1182" r:id="rId156" name="VarPreSelect59"/>
      </mc:Fallback>
    </mc:AlternateContent>
    <mc:AlternateContent xmlns:mc="http://schemas.openxmlformats.org/markup-compatibility/2006">
      <mc:Choice Requires="x14">
        <control shapeId="1183" r:id="rId157" name="VarPreSelect60">
          <controlPr defaultSize="0" autoLine="0" r:id="rId5">
            <anchor moveWithCells="1">
              <from>
                <xdr:col>3</xdr:col>
                <xdr:colOff>247650</xdr:colOff>
                <xdr:row>62</xdr:row>
                <xdr:rowOff>19050</xdr:rowOff>
              </from>
              <to>
                <xdr:col>3</xdr:col>
                <xdr:colOff>409575</xdr:colOff>
                <xdr:row>62</xdr:row>
                <xdr:rowOff>142875</xdr:rowOff>
              </to>
            </anchor>
          </controlPr>
        </control>
      </mc:Choice>
      <mc:Fallback>
        <control shapeId="1183" r:id="rId157" name="VarPreSelect60"/>
      </mc:Fallback>
    </mc:AlternateContent>
    <mc:AlternateContent xmlns:mc="http://schemas.openxmlformats.org/markup-compatibility/2006">
      <mc:Choice Requires="x14">
        <control shapeId="1184" r:id="rId158" name="VarPreSelect61">
          <controlPr defaultSize="0" autoLine="0" r:id="rId5">
            <anchor moveWithCells="1">
              <from>
                <xdr:col>3</xdr:col>
                <xdr:colOff>247650</xdr:colOff>
                <xdr:row>63</xdr:row>
                <xdr:rowOff>19050</xdr:rowOff>
              </from>
              <to>
                <xdr:col>3</xdr:col>
                <xdr:colOff>409575</xdr:colOff>
                <xdr:row>63</xdr:row>
                <xdr:rowOff>142875</xdr:rowOff>
              </to>
            </anchor>
          </controlPr>
        </control>
      </mc:Choice>
      <mc:Fallback>
        <control shapeId="1184" r:id="rId158" name="VarPreSelect61"/>
      </mc:Fallback>
    </mc:AlternateContent>
    <mc:AlternateContent xmlns:mc="http://schemas.openxmlformats.org/markup-compatibility/2006">
      <mc:Choice Requires="x14">
        <control shapeId="1185" r:id="rId159" name="VarPreSelect62">
          <controlPr defaultSize="0" autoLine="0" r:id="rId5">
            <anchor moveWithCells="1">
              <from>
                <xdr:col>3</xdr:col>
                <xdr:colOff>247650</xdr:colOff>
                <xdr:row>64</xdr:row>
                <xdr:rowOff>19050</xdr:rowOff>
              </from>
              <to>
                <xdr:col>3</xdr:col>
                <xdr:colOff>409575</xdr:colOff>
                <xdr:row>64</xdr:row>
                <xdr:rowOff>142875</xdr:rowOff>
              </to>
            </anchor>
          </controlPr>
        </control>
      </mc:Choice>
      <mc:Fallback>
        <control shapeId="1185" r:id="rId159" name="VarPreSelect62"/>
      </mc:Fallback>
    </mc:AlternateContent>
    <mc:AlternateContent xmlns:mc="http://schemas.openxmlformats.org/markup-compatibility/2006">
      <mc:Choice Requires="x14">
        <control shapeId="1186" r:id="rId160" name="VarPreSelect63">
          <controlPr defaultSize="0" autoLine="0" r:id="rId5">
            <anchor moveWithCells="1">
              <from>
                <xdr:col>3</xdr:col>
                <xdr:colOff>247650</xdr:colOff>
                <xdr:row>65</xdr:row>
                <xdr:rowOff>19050</xdr:rowOff>
              </from>
              <to>
                <xdr:col>3</xdr:col>
                <xdr:colOff>409575</xdr:colOff>
                <xdr:row>65</xdr:row>
                <xdr:rowOff>142875</xdr:rowOff>
              </to>
            </anchor>
          </controlPr>
        </control>
      </mc:Choice>
      <mc:Fallback>
        <control shapeId="1186" r:id="rId160" name="VarPreSelect63"/>
      </mc:Fallback>
    </mc:AlternateContent>
    <mc:AlternateContent xmlns:mc="http://schemas.openxmlformats.org/markup-compatibility/2006">
      <mc:Choice Requires="x14">
        <control shapeId="1187" r:id="rId161" name="VarPreSelect64">
          <controlPr defaultSize="0" autoLine="0" r:id="rId5">
            <anchor moveWithCells="1">
              <from>
                <xdr:col>3</xdr:col>
                <xdr:colOff>247650</xdr:colOff>
                <xdr:row>66</xdr:row>
                <xdr:rowOff>19050</xdr:rowOff>
              </from>
              <to>
                <xdr:col>3</xdr:col>
                <xdr:colOff>409575</xdr:colOff>
                <xdr:row>66</xdr:row>
                <xdr:rowOff>142875</xdr:rowOff>
              </to>
            </anchor>
          </controlPr>
        </control>
      </mc:Choice>
      <mc:Fallback>
        <control shapeId="1187" r:id="rId161" name="VarPreSelect64"/>
      </mc:Fallback>
    </mc:AlternateContent>
    <mc:AlternateContent xmlns:mc="http://schemas.openxmlformats.org/markup-compatibility/2006">
      <mc:Choice Requires="x14">
        <control shapeId="1188" r:id="rId162" name="VarPreSelect65">
          <controlPr defaultSize="0" autoLine="0" r:id="rId5">
            <anchor moveWithCells="1">
              <from>
                <xdr:col>3</xdr:col>
                <xdr:colOff>247650</xdr:colOff>
                <xdr:row>67</xdr:row>
                <xdr:rowOff>19050</xdr:rowOff>
              </from>
              <to>
                <xdr:col>3</xdr:col>
                <xdr:colOff>409575</xdr:colOff>
                <xdr:row>67</xdr:row>
                <xdr:rowOff>142875</xdr:rowOff>
              </to>
            </anchor>
          </controlPr>
        </control>
      </mc:Choice>
      <mc:Fallback>
        <control shapeId="1188" r:id="rId162" name="VarPreSelect65"/>
      </mc:Fallback>
    </mc:AlternateContent>
    <mc:AlternateContent xmlns:mc="http://schemas.openxmlformats.org/markup-compatibility/2006">
      <mc:Choice Requires="x14">
        <control shapeId="1189" r:id="rId163" name="VarPreSelect66">
          <controlPr defaultSize="0" autoLine="0" r:id="rId5">
            <anchor moveWithCells="1">
              <from>
                <xdr:col>3</xdr:col>
                <xdr:colOff>247650</xdr:colOff>
                <xdr:row>68</xdr:row>
                <xdr:rowOff>19050</xdr:rowOff>
              </from>
              <to>
                <xdr:col>3</xdr:col>
                <xdr:colOff>409575</xdr:colOff>
                <xdr:row>68</xdr:row>
                <xdr:rowOff>142875</xdr:rowOff>
              </to>
            </anchor>
          </controlPr>
        </control>
      </mc:Choice>
      <mc:Fallback>
        <control shapeId="1189" r:id="rId163" name="VarPreSelect66"/>
      </mc:Fallback>
    </mc:AlternateContent>
    <mc:AlternateContent xmlns:mc="http://schemas.openxmlformats.org/markup-compatibility/2006">
      <mc:Choice Requires="x14">
        <control shapeId="1190" r:id="rId164" name="VarPreSelect67">
          <controlPr defaultSize="0" autoLine="0" r:id="rId5">
            <anchor moveWithCells="1">
              <from>
                <xdr:col>3</xdr:col>
                <xdr:colOff>247650</xdr:colOff>
                <xdr:row>69</xdr:row>
                <xdr:rowOff>19050</xdr:rowOff>
              </from>
              <to>
                <xdr:col>3</xdr:col>
                <xdr:colOff>409575</xdr:colOff>
                <xdr:row>69</xdr:row>
                <xdr:rowOff>142875</xdr:rowOff>
              </to>
            </anchor>
          </controlPr>
        </control>
      </mc:Choice>
      <mc:Fallback>
        <control shapeId="1190" r:id="rId164" name="VarPreSelect67"/>
      </mc:Fallback>
    </mc:AlternateContent>
    <mc:AlternateContent xmlns:mc="http://schemas.openxmlformats.org/markup-compatibility/2006">
      <mc:Choice Requires="x14">
        <control shapeId="1191" r:id="rId165" name="VarPreSelect68">
          <controlPr defaultSize="0" autoLine="0" r:id="rId5">
            <anchor moveWithCells="1">
              <from>
                <xdr:col>3</xdr:col>
                <xdr:colOff>247650</xdr:colOff>
                <xdr:row>70</xdr:row>
                <xdr:rowOff>19050</xdr:rowOff>
              </from>
              <to>
                <xdr:col>3</xdr:col>
                <xdr:colOff>409575</xdr:colOff>
                <xdr:row>70</xdr:row>
                <xdr:rowOff>142875</xdr:rowOff>
              </to>
            </anchor>
          </controlPr>
        </control>
      </mc:Choice>
      <mc:Fallback>
        <control shapeId="1191" r:id="rId165" name="VarPreSelect68"/>
      </mc:Fallback>
    </mc:AlternateContent>
    <mc:AlternateContent xmlns:mc="http://schemas.openxmlformats.org/markup-compatibility/2006">
      <mc:Choice Requires="x14">
        <control shapeId="1192" r:id="rId166" name="VarPreSelect69">
          <controlPr defaultSize="0" autoLine="0" r:id="rId5">
            <anchor moveWithCells="1">
              <from>
                <xdr:col>3</xdr:col>
                <xdr:colOff>247650</xdr:colOff>
                <xdr:row>71</xdr:row>
                <xdr:rowOff>19050</xdr:rowOff>
              </from>
              <to>
                <xdr:col>3</xdr:col>
                <xdr:colOff>409575</xdr:colOff>
                <xdr:row>71</xdr:row>
                <xdr:rowOff>142875</xdr:rowOff>
              </to>
            </anchor>
          </controlPr>
        </control>
      </mc:Choice>
      <mc:Fallback>
        <control shapeId="1192" r:id="rId166" name="VarPreSelect69"/>
      </mc:Fallback>
    </mc:AlternateContent>
    <mc:AlternateContent xmlns:mc="http://schemas.openxmlformats.org/markup-compatibility/2006">
      <mc:Choice Requires="x14">
        <control shapeId="1193" r:id="rId167" name="VarPreSelect70">
          <controlPr defaultSize="0" autoLine="0" r:id="rId5">
            <anchor moveWithCells="1">
              <from>
                <xdr:col>3</xdr:col>
                <xdr:colOff>247650</xdr:colOff>
                <xdr:row>72</xdr:row>
                <xdr:rowOff>19050</xdr:rowOff>
              </from>
              <to>
                <xdr:col>3</xdr:col>
                <xdr:colOff>409575</xdr:colOff>
                <xdr:row>72</xdr:row>
                <xdr:rowOff>142875</xdr:rowOff>
              </to>
            </anchor>
          </controlPr>
        </control>
      </mc:Choice>
      <mc:Fallback>
        <control shapeId="1193" r:id="rId167" name="VarPreSelect70"/>
      </mc:Fallback>
    </mc:AlternateContent>
    <mc:AlternateContent xmlns:mc="http://schemas.openxmlformats.org/markup-compatibility/2006">
      <mc:Choice Requires="x14">
        <control shapeId="1194" r:id="rId168" name="VarPreSelect71">
          <controlPr defaultSize="0" autoLine="0" r:id="rId5">
            <anchor moveWithCells="1">
              <from>
                <xdr:col>3</xdr:col>
                <xdr:colOff>247650</xdr:colOff>
                <xdr:row>73</xdr:row>
                <xdr:rowOff>19050</xdr:rowOff>
              </from>
              <to>
                <xdr:col>3</xdr:col>
                <xdr:colOff>409575</xdr:colOff>
                <xdr:row>73</xdr:row>
                <xdr:rowOff>142875</xdr:rowOff>
              </to>
            </anchor>
          </controlPr>
        </control>
      </mc:Choice>
      <mc:Fallback>
        <control shapeId="1194" r:id="rId168" name="VarPreSelect71"/>
      </mc:Fallback>
    </mc:AlternateContent>
    <mc:AlternateContent xmlns:mc="http://schemas.openxmlformats.org/markup-compatibility/2006">
      <mc:Choice Requires="x14">
        <control shapeId="1195" r:id="rId169" name="VarPreSelect72">
          <controlPr defaultSize="0" autoLine="0" r:id="rId5">
            <anchor moveWithCells="1">
              <from>
                <xdr:col>3</xdr:col>
                <xdr:colOff>247650</xdr:colOff>
                <xdr:row>74</xdr:row>
                <xdr:rowOff>19050</xdr:rowOff>
              </from>
              <to>
                <xdr:col>3</xdr:col>
                <xdr:colOff>409575</xdr:colOff>
                <xdr:row>74</xdr:row>
                <xdr:rowOff>142875</xdr:rowOff>
              </to>
            </anchor>
          </controlPr>
        </control>
      </mc:Choice>
      <mc:Fallback>
        <control shapeId="1195" r:id="rId169" name="VarPreSelect72"/>
      </mc:Fallback>
    </mc:AlternateContent>
    <mc:AlternateContent xmlns:mc="http://schemas.openxmlformats.org/markup-compatibility/2006">
      <mc:Choice Requires="x14">
        <control shapeId="1196" r:id="rId170" name="VarPreSelect73">
          <controlPr defaultSize="0" autoLine="0" r:id="rId5">
            <anchor moveWithCells="1">
              <from>
                <xdr:col>3</xdr:col>
                <xdr:colOff>247650</xdr:colOff>
                <xdr:row>75</xdr:row>
                <xdr:rowOff>19050</xdr:rowOff>
              </from>
              <to>
                <xdr:col>3</xdr:col>
                <xdr:colOff>409575</xdr:colOff>
                <xdr:row>75</xdr:row>
                <xdr:rowOff>142875</xdr:rowOff>
              </to>
            </anchor>
          </controlPr>
        </control>
      </mc:Choice>
      <mc:Fallback>
        <control shapeId="1196" r:id="rId170" name="VarPreSelect73"/>
      </mc:Fallback>
    </mc:AlternateContent>
    <mc:AlternateContent xmlns:mc="http://schemas.openxmlformats.org/markup-compatibility/2006">
      <mc:Choice Requires="x14">
        <control shapeId="1197" r:id="rId171" name="VarPreSelect74">
          <controlPr defaultSize="0" autoLine="0" r:id="rId5">
            <anchor moveWithCells="1">
              <from>
                <xdr:col>3</xdr:col>
                <xdr:colOff>247650</xdr:colOff>
                <xdr:row>76</xdr:row>
                <xdr:rowOff>19050</xdr:rowOff>
              </from>
              <to>
                <xdr:col>3</xdr:col>
                <xdr:colOff>409575</xdr:colOff>
                <xdr:row>76</xdr:row>
                <xdr:rowOff>142875</xdr:rowOff>
              </to>
            </anchor>
          </controlPr>
        </control>
      </mc:Choice>
      <mc:Fallback>
        <control shapeId="1197" r:id="rId171" name="VarPreSelect74"/>
      </mc:Fallback>
    </mc:AlternateContent>
    <mc:AlternateContent xmlns:mc="http://schemas.openxmlformats.org/markup-compatibility/2006">
      <mc:Choice Requires="x14">
        <control shapeId="1198" r:id="rId172" name="VarPreSelect75">
          <controlPr defaultSize="0" autoLine="0" r:id="rId5">
            <anchor moveWithCells="1">
              <from>
                <xdr:col>3</xdr:col>
                <xdr:colOff>247650</xdr:colOff>
                <xdr:row>77</xdr:row>
                <xdr:rowOff>19050</xdr:rowOff>
              </from>
              <to>
                <xdr:col>3</xdr:col>
                <xdr:colOff>409575</xdr:colOff>
                <xdr:row>77</xdr:row>
                <xdr:rowOff>142875</xdr:rowOff>
              </to>
            </anchor>
          </controlPr>
        </control>
      </mc:Choice>
      <mc:Fallback>
        <control shapeId="1198" r:id="rId172" name="VarPreSelect75"/>
      </mc:Fallback>
    </mc:AlternateContent>
    <mc:AlternateContent xmlns:mc="http://schemas.openxmlformats.org/markup-compatibility/2006">
      <mc:Choice Requires="x14">
        <control shapeId="1199" r:id="rId173" name="VarPreSelect76">
          <controlPr defaultSize="0" autoLine="0" r:id="rId5">
            <anchor moveWithCells="1">
              <from>
                <xdr:col>3</xdr:col>
                <xdr:colOff>247650</xdr:colOff>
                <xdr:row>78</xdr:row>
                <xdr:rowOff>19050</xdr:rowOff>
              </from>
              <to>
                <xdr:col>3</xdr:col>
                <xdr:colOff>409575</xdr:colOff>
                <xdr:row>78</xdr:row>
                <xdr:rowOff>142875</xdr:rowOff>
              </to>
            </anchor>
          </controlPr>
        </control>
      </mc:Choice>
      <mc:Fallback>
        <control shapeId="1199" r:id="rId173" name="VarPreSelect76"/>
      </mc:Fallback>
    </mc:AlternateContent>
    <mc:AlternateContent xmlns:mc="http://schemas.openxmlformats.org/markup-compatibility/2006">
      <mc:Choice Requires="x14">
        <control shapeId="1200" r:id="rId174" name="VarPreSelect77">
          <controlPr defaultSize="0" autoLine="0" r:id="rId5">
            <anchor moveWithCells="1">
              <from>
                <xdr:col>3</xdr:col>
                <xdr:colOff>247650</xdr:colOff>
                <xdr:row>79</xdr:row>
                <xdr:rowOff>19050</xdr:rowOff>
              </from>
              <to>
                <xdr:col>3</xdr:col>
                <xdr:colOff>409575</xdr:colOff>
                <xdr:row>79</xdr:row>
                <xdr:rowOff>142875</xdr:rowOff>
              </to>
            </anchor>
          </controlPr>
        </control>
      </mc:Choice>
      <mc:Fallback>
        <control shapeId="1200" r:id="rId174" name="VarPreSelect77"/>
      </mc:Fallback>
    </mc:AlternateContent>
    <mc:AlternateContent xmlns:mc="http://schemas.openxmlformats.org/markup-compatibility/2006">
      <mc:Choice Requires="x14">
        <control shapeId="1201" r:id="rId175" name="VarPreSelect78">
          <controlPr defaultSize="0" autoLine="0" r:id="rId5">
            <anchor moveWithCells="1">
              <from>
                <xdr:col>3</xdr:col>
                <xdr:colOff>247650</xdr:colOff>
                <xdr:row>80</xdr:row>
                <xdr:rowOff>19050</xdr:rowOff>
              </from>
              <to>
                <xdr:col>3</xdr:col>
                <xdr:colOff>409575</xdr:colOff>
                <xdr:row>80</xdr:row>
                <xdr:rowOff>142875</xdr:rowOff>
              </to>
            </anchor>
          </controlPr>
        </control>
      </mc:Choice>
      <mc:Fallback>
        <control shapeId="1201" r:id="rId175" name="VarPreSelect78"/>
      </mc:Fallback>
    </mc:AlternateContent>
    <mc:AlternateContent xmlns:mc="http://schemas.openxmlformats.org/markup-compatibility/2006">
      <mc:Choice Requires="x14">
        <control shapeId="1202" r:id="rId176" name="VarPreSelect79">
          <controlPr defaultSize="0" autoLine="0" r:id="rId5">
            <anchor moveWithCells="1">
              <from>
                <xdr:col>3</xdr:col>
                <xdr:colOff>247650</xdr:colOff>
                <xdr:row>81</xdr:row>
                <xdr:rowOff>19050</xdr:rowOff>
              </from>
              <to>
                <xdr:col>3</xdr:col>
                <xdr:colOff>409575</xdr:colOff>
                <xdr:row>81</xdr:row>
                <xdr:rowOff>142875</xdr:rowOff>
              </to>
            </anchor>
          </controlPr>
        </control>
      </mc:Choice>
      <mc:Fallback>
        <control shapeId="1202" r:id="rId176" name="VarPreSelect79"/>
      </mc:Fallback>
    </mc:AlternateContent>
    <mc:AlternateContent xmlns:mc="http://schemas.openxmlformats.org/markup-compatibility/2006">
      <mc:Choice Requires="x14">
        <control shapeId="1203" r:id="rId177" name="VarPreSelect80">
          <controlPr defaultSize="0" autoLine="0" r:id="rId5">
            <anchor moveWithCells="1">
              <from>
                <xdr:col>3</xdr:col>
                <xdr:colOff>247650</xdr:colOff>
                <xdr:row>82</xdr:row>
                <xdr:rowOff>19050</xdr:rowOff>
              </from>
              <to>
                <xdr:col>3</xdr:col>
                <xdr:colOff>409575</xdr:colOff>
                <xdr:row>82</xdr:row>
                <xdr:rowOff>142875</xdr:rowOff>
              </to>
            </anchor>
          </controlPr>
        </control>
      </mc:Choice>
      <mc:Fallback>
        <control shapeId="1203" r:id="rId177" name="VarPreSelect80"/>
      </mc:Fallback>
    </mc:AlternateContent>
    <mc:AlternateContent xmlns:mc="http://schemas.openxmlformats.org/markup-compatibility/2006">
      <mc:Choice Requires="x14">
        <control shapeId="1204" r:id="rId178" name="VarPreSelect81">
          <controlPr defaultSize="0" autoLine="0" r:id="rId5">
            <anchor moveWithCells="1">
              <from>
                <xdr:col>3</xdr:col>
                <xdr:colOff>247650</xdr:colOff>
                <xdr:row>83</xdr:row>
                <xdr:rowOff>19050</xdr:rowOff>
              </from>
              <to>
                <xdr:col>3</xdr:col>
                <xdr:colOff>409575</xdr:colOff>
                <xdr:row>83</xdr:row>
                <xdr:rowOff>142875</xdr:rowOff>
              </to>
            </anchor>
          </controlPr>
        </control>
      </mc:Choice>
      <mc:Fallback>
        <control shapeId="1204" r:id="rId178" name="VarPreSelect81"/>
      </mc:Fallback>
    </mc:AlternateContent>
    <mc:AlternateContent xmlns:mc="http://schemas.openxmlformats.org/markup-compatibility/2006">
      <mc:Choice Requires="x14">
        <control shapeId="1205" r:id="rId179" name="VarPreSelect82">
          <controlPr defaultSize="0" autoLine="0" r:id="rId5">
            <anchor moveWithCells="1">
              <from>
                <xdr:col>3</xdr:col>
                <xdr:colOff>247650</xdr:colOff>
                <xdr:row>84</xdr:row>
                <xdr:rowOff>19050</xdr:rowOff>
              </from>
              <to>
                <xdr:col>3</xdr:col>
                <xdr:colOff>409575</xdr:colOff>
                <xdr:row>84</xdr:row>
                <xdr:rowOff>142875</xdr:rowOff>
              </to>
            </anchor>
          </controlPr>
        </control>
      </mc:Choice>
      <mc:Fallback>
        <control shapeId="1205" r:id="rId179" name="VarPreSelect82"/>
      </mc:Fallback>
    </mc:AlternateContent>
    <mc:AlternateContent xmlns:mc="http://schemas.openxmlformats.org/markup-compatibility/2006">
      <mc:Choice Requires="x14">
        <control shapeId="1206" r:id="rId180" name="VarPreSelect83">
          <controlPr defaultSize="0" autoLine="0" r:id="rId5">
            <anchor moveWithCells="1">
              <from>
                <xdr:col>3</xdr:col>
                <xdr:colOff>247650</xdr:colOff>
                <xdr:row>85</xdr:row>
                <xdr:rowOff>19050</xdr:rowOff>
              </from>
              <to>
                <xdr:col>3</xdr:col>
                <xdr:colOff>409575</xdr:colOff>
                <xdr:row>85</xdr:row>
                <xdr:rowOff>142875</xdr:rowOff>
              </to>
            </anchor>
          </controlPr>
        </control>
      </mc:Choice>
      <mc:Fallback>
        <control shapeId="1206" r:id="rId180" name="VarPreSelect83"/>
      </mc:Fallback>
    </mc:AlternateContent>
    <mc:AlternateContent xmlns:mc="http://schemas.openxmlformats.org/markup-compatibility/2006">
      <mc:Choice Requires="x14">
        <control shapeId="1207" r:id="rId181" name="VarPreSelect84">
          <controlPr defaultSize="0" autoLine="0" r:id="rId5">
            <anchor moveWithCells="1">
              <from>
                <xdr:col>3</xdr:col>
                <xdr:colOff>247650</xdr:colOff>
                <xdr:row>86</xdr:row>
                <xdr:rowOff>19050</xdr:rowOff>
              </from>
              <to>
                <xdr:col>3</xdr:col>
                <xdr:colOff>409575</xdr:colOff>
                <xdr:row>86</xdr:row>
                <xdr:rowOff>142875</xdr:rowOff>
              </to>
            </anchor>
          </controlPr>
        </control>
      </mc:Choice>
      <mc:Fallback>
        <control shapeId="1207" r:id="rId181" name="VarPreSelect84"/>
      </mc:Fallback>
    </mc:AlternateContent>
    <mc:AlternateContent xmlns:mc="http://schemas.openxmlformats.org/markup-compatibility/2006">
      <mc:Choice Requires="x14">
        <control shapeId="1208" r:id="rId182" name="VarPreSelect85">
          <controlPr defaultSize="0" autoLine="0" r:id="rId5">
            <anchor moveWithCells="1">
              <from>
                <xdr:col>3</xdr:col>
                <xdr:colOff>247650</xdr:colOff>
                <xdr:row>87</xdr:row>
                <xdr:rowOff>19050</xdr:rowOff>
              </from>
              <to>
                <xdr:col>3</xdr:col>
                <xdr:colOff>409575</xdr:colOff>
                <xdr:row>87</xdr:row>
                <xdr:rowOff>142875</xdr:rowOff>
              </to>
            </anchor>
          </controlPr>
        </control>
      </mc:Choice>
      <mc:Fallback>
        <control shapeId="1208" r:id="rId182" name="VarPreSelect85"/>
      </mc:Fallback>
    </mc:AlternateContent>
    <mc:AlternateContent xmlns:mc="http://schemas.openxmlformats.org/markup-compatibility/2006">
      <mc:Choice Requires="x14">
        <control shapeId="1209" r:id="rId183" name="VarPreSelect86">
          <controlPr defaultSize="0" autoLine="0" r:id="rId5">
            <anchor moveWithCells="1">
              <from>
                <xdr:col>3</xdr:col>
                <xdr:colOff>247650</xdr:colOff>
                <xdr:row>88</xdr:row>
                <xdr:rowOff>19050</xdr:rowOff>
              </from>
              <to>
                <xdr:col>3</xdr:col>
                <xdr:colOff>409575</xdr:colOff>
                <xdr:row>88</xdr:row>
                <xdr:rowOff>142875</xdr:rowOff>
              </to>
            </anchor>
          </controlPr>
        </control>
      </mc:Choice>
      <mc:Fallback>
        <control shapeId="1209" r:id="rId183" name="VarPreSelect86"/>
      </mc:Fallback>
    </mc:AlternateContent>
    <mc:AlternateContent xmlns:mc="http://schemas.openxmlformats.org/markup-compatibility/2006">
      <mc:Choice Requires="x14">
        <control shapeId="1210" r:id="rId184" name="VarPreSelect87">
          <controlPr defaultSize="0" autoLine="0" r:id="rId5">
            <anchor moveWithCells="1">
              <from>
                <xdr:col>3</xdr:col>
                <xdr:colOff>247650</xdr:colOff>
                <xdr:row>89</xdr:row>
                <xdr:rowOff>19050</xdr:rowOff>
              </from>
              <to>
                <xdr:col>3</xdr:col>
                <xdr:colOff>409575</xdr:colOff>
                <xdr:row>89</xdr:row>
                <xdr:rowOff>142875</xdr:rowOff>
              </to>
            </anchor>
          </controlPr>
        </control>
      </mc:Choice>
      <mc:Fallback>
        <control shapeId="1210" r:id="rId184" name="VarPreSelect87"/>
      </mc:Fallback>
    </mc:AlternateContent>
    <mc:AlternateContent xmlns:mc="http://schemas.openxmlformats.org/markup-compatibility/2006">
      <mc:Choice Requires="x14">
        <control shapeId="1211" r:id="rId185" name="VarPreSelect88">
          <controlPr defaultSize="0" autoLine="0" r:id="rId5">
            <anchor moveWithCells="1">
              <from>
                <xdr:col>3</xdr:col>
                <xdr:colOff>247650</xdr:colOff>
                <xdr:row>90</xdr:row>
                <xdr:rowOff>19050</xdr:rowOff>
              </from>
              <to>
                <xdr:col>3</xdr:col>
                <xdr:colOff>409575</xdr:colOff>
                <xdr:row>90</xdr:row>
                <xdr:rowOff>142875</xdr:rowOff>
              </to>
            </anchor>
          </controlPr>
        </control>
      </mc:Choice>
      <mc:Fallback>
        <control shapeId="1211" r:id="rId185" name="VarPreSelect88"/>
      </mc:Fallback>
    </mc:AlternateContent>
    <mc:AlternateContent xmlns:mc="http://schemas.openxmlformats.org/markup-compatibility/2006">
      <mc:Choice Requires="x14">
        <control shapeId="1212" r:id="rId186" name="VarPreSelect89">
          <controlPr defaultSize="0" autoLine="0" r:id="rId5">
            <anchor moveWithCells="1">
              <from>
                <xdr:col>3</xdr:col>
                <xdr:colOff>247650</xdr:colOff>
                <xdr:row>91</xdr:row>
                <xdr:rowOff>19050</xdr:rowOff>
              </from>
              <to>
                <xdr:col>3</xdr:col>
                <xdr:colOff>409575</xdr:colOff>
                <xdr:row>91</xdr:row>
                <xdr:rowOff>142875</xdr:rowOff>
              </to>
            </anchor>
          </controlPr>
        </control>
      </mc:Choice>
      <mc:Fallback>
        <control shapeId="1212" r:id="rId186" name="VarPreSelect89"/>
      </mc:Fallback>
    </mc:AlternateContent>
    <mc:AlternateContent xmlns:mc="http://schemas.openxmlformats.org/markup-compatibility/2006">
      <mc:Choice Requires="x14">
        <control shapeId="1213" r:id="rId187" name="VarPreSelect90">
          <controlPr defaultSize="0" autoLine="0" r:id="rId5">
            <anchor moveWithCells="1">
              <from>
                <xdr:col>3</xdr:col>
                <xdr:colOff>247650</xdr:colOff>
                <xdr:row>92</xdr:row>
                <xdr:rowOff>19050</xdr:rowOff>
              </from>
              <to>
                <xdr:col>3</xdr:col>
                <xdr:colOff>409575</xdr:colOff>
                <xdr:row>92</xdr:row>
                <xdr:rowOff>142875</xdr:rowOff>
              </to>
            </anchor>
          </controlPr>
        </control>
      </mc:Choice>
      <mc:Fallback>
        <control shapeId="1213" r:id="rId187" name="VarPreSelect90"/>
      </mc:Fallback>
    </mc:AlternateContent>
    <mc:AlternateContent xmlns:mc="http://schemas.openxmlformats.org/markup-compatibility/2006">
      <mc:Choice Requires="x14">
        <control shapeId="1214" r:id="rId188" name="VarPreSelect91">
          <controlPr defaultSize="0" autoLine="0" r:id="rId5">
            <anchor moveWithCells="1">
              <from>
                <xdr:col>3</xdr:col>
                <xdr:colOff>247650</xdr:colOff>
                <xdr:row>93</xdr:row>
                <xdr:rowOff>19050</xdr:rowOff>
              </from>
              <to>
                <xdr:col>3</xdr:col>
                <xdr:colOff>409575</xdr:colOff>
                <xdr:row>93</xdr:row>
                <xdr:rowOff>142875</xdr:rowOff>
              </to>
            </anchor>
          </controlPr>
        </control>
      </mc:Choice>
      <mc:Fallback>
        <control shapeId="1214" r:id="rId188" name="VarPreSelect91"/>
      </mc:Fallback>
    </mc:AlternateContent>
    <mc:AlternateContent xmlns:mc="http://schemas.openxmlformats.org/markup-compatibility/2006">
      <mc:Choice Requires="x14">
        <control shapeId="1215" r:id="rId189" name="VarPreSelect92">
          <controlPr defaultSize="0" autoLine="0" r:id="rId5">
            <anchor moveWithCells="1">
              <from>
                <xdr:col>3</xdr:col>
                <xdr:colOff>247650</xdr:colOff>
                <xdr:row>94</xdr:row>
                <xdr:rowOff>19050</xdr:rowOff>
              </from>
              <to>
                <xdr:col>3</xdr:col>
                <xdr:colOff>409575</xdr:colOff>
                <xdr:row>94</xdr:row>
                <xdr:rowOff>142875</xdr:rowOff>
              </to>
            </anchor>
          </controlPr>
        </control>
      </mc:Choice>
      <mc:Fallback>
        <control shapeId="1215" r:id="rId189" name="VarPreSelect92"/>
      </mc:Fallback>
    </mc:AlternateContent>
    <mc:AlternateContent xmlns:mc="http://schemas.openxmlformats.org/markup-compatibility/2006">
      <mc:Choice Requires="x14">
        <control shapeId="1216" r:id="rId190" name="VarPreSelect93">
          <controlPr defaultSize="0" autoLine="0" r:id="rId5">
            <anchor moveWithCells="1">
              <from>
                <xdr:col>3</xdr:col>
                <xdr:colOff>247650</xdr:colOff>
                <xdr:row>95</xdr:row>
                <xdr:rowOff>19050</xdr:rowOff>
              </from>
              <to>
                <xdr:col>3</xdr:col>
                <xdr:colOff>409575</xdr:colOff>
                <xdr:row>95</xdr:row>
                <xdr:rowOff>142875</xdr:rowOff>
              </to>
            </anchor>
          </controlPr>
        </control>
      </mc:Choice>
      <mc:Fallback>
        <control shapeId="1216" r:id="rId190" name="VarPreSelect93"/>
      </mc:Fallback>
    </mc:AlternateContent>
    <mc:AlternateContent xmlns:mc="http://schemas.openxmlformats.org/markup-compatibility/2006">
      <mc:Choice Requires="x14">
        <control shapeId="1217" r:id="rId191" name="MatchCORREL1">
          <controlPr defaultSize="0" autoLine="0" r:id="rId5">
            <anchor moveWithCells="1">
              <from>
                <xdr:col>4</xdr:col>
                <xdr:colOff>247650</xdr:colOff>
                <xdr:row>100</xdr:row>
                <xdr:rowOff>19050</xdr:rowOff>
              </from>
              <to>
                <xdr:col>4</xdr:col>
                <xdr:colOff>409575</xdr:colOff>
                <xdr:row>100</xdr:row>
                <xdr:rowOff>142875</xdr:rowOff>
              </to>
            </anchor>
          </controlPr>
        </control>
      </mc:Choice>
      <mc:Fallback>
        <control shapeId="1217" r:id="rId191" name="MatchCORREL1"/>
      </mc:Fallback>
    </mc:AlternateContent>
    <mc:AlternateContent xmlns:mc="http://schemas.openxmlformats.org/markup-compatibility/2006">
      <mc:Choice Requires="x14">
        <control shapeId="1218" r:id="rId192" name="MatchCORREL2">
          <controlPr defaultSize="0" autoLine="0" r:id="rId5">
            <anchor moveWithCells="1">
              <from>
                <xdr:col>5</xdr:col>
                <xdr:colOff>247650</xdr:colOff>
                <xdr:row>100</xdr:row>
                <xdr:rowOff>19050</xdr:rowOff>
              </from>
              <to>
                <xdr:col>5</xdr:col>
                <xdr:colOff>409575</xdr:colOff>
                <xdr:row>100</xdr:row>
                <xdr:rowOff>142875</xdr:rowOff>
              </to>
            </anchor>
          </controlPr>
        </control>
      </mc:Choice>
      <mc:Fallback>
        <control shapeId="1218" r:id="rId192" name="MatchCORREL2"/>
      </mc:Fallback>
    </mc:AlternateContent>
    <mc:AlternateContent xmlns:mc="http://schemas.openxmlformats.org/markup-compatibility/2006">
      <mc:Choice Requires="x14">
        <control shapeId="1219" r:id="rId193" name="MatchCORREL3">
          <controlPr defaultSize="0" autoLine="0" r:id="rId5">
            <anchor moveWithCells="1">
              <from>
                <xdr:col>6</xdr:col>
                <xdr:colOff>247650</xdr:colOff>
                <xdr:row>100</xdr:row>
                <xdr:rowOff>19050</xdr:rowOff>
              </from>
              <to>
                <xdr:col>6</xdr:col>
                <xdr:colOff>409575</xdr:colOff>
                <xdr:row>100</xdr:row>
                <xdr:rowOff>142875</xdr:rowOff>
              </to>
            </anchor>
          </controlPr>
        </control>
      </mc:Choice>
      <mc:Fallback>
        <control shapeId="1219" r:id="rId193" name="MatchCORREL3"/>
      </mc:Fallback>
    </mc:AlternateContent>
    <mc:AlternateContent xmlns:mc="http://schemas.openxmlformats.org/markup-compatibility/2006">
      <mc:Choice Requires="x14">
        <control shapeId="1220" r:id="rId194" name="MatchCORREL4">
          <controlPr defaultSize="0" autoLine="0" r:id="rId5">
            <anchor moveWithCells="1">
              <from>
                <xdr:col>7</xdr:col>
                <xdr:colOff>247650</xdr:colOff>
                <xdr:row>100</xdr:row>
                <xdr:rowOff>19050</xdr:rowOff>
              </from>
              <to>
                <xdr:col>7</xdr:col>
                <xdr:colOff>409575</xdr:colOff>
                <xdr:row>100</xdr:row>
                <xdr:rowOff>142875</xdr:rowOff>
              </to>
            </anchor>
          </controlPr>
        </control>
      </mc:Choice>
      <mc:Fallback>
        <control shapeId="1220" r:id="rId194" name="MatchCORREL4"/>
      </mc:Fallback>
    </mc:AlternateContent>
    <mc:AlternateContent xmlns:mc="http://schemas.openxmlformats.org/markup-compatibility/2006">
      <mc:Choice Requires="x14">
        <control shapeId="1221" r:id="rId195" name="MatchCORREL5">
          <controlPr defaultSize="0" autoLine="0" r:id="rId5">
            <anchor moveWithCells="1">
              <from>
                <xdr:col>8</xdr:col>
                <xdr:colOff>247650</xdr:colOff>
                <xdr:row>100</xdr:row>
                <xdr:rowOff>19050</xdr:rowOff>
              </from>
              <to>
                <xdr:col>8</xdr:col>
                <xdr:colOff>409575</xdr:colOff>
                <xdr:row>100</xdr:row>
                <xdr:rowOff>142875</xdr:rowOff>
              </to>
            </anchor>
          </controlPr>
        </control>
      </mc:Choice>
      <mc:Fallback>
        <control shapeId="1221" r:id="rId195" name="MatchCORREL5"/>
      </mc:Fallback>
    </mc:AlternateContent>
    <mc:AlternateContent xmlns:mc="http://schemas.openxmlformats.org/markup-compatibility/2006">
      <mc:Choice Requires="x14">
        <control shapeId="1222" r:id="rId196" name="MatchCORREL6">
          <controlPr defaultSize="0" autoLine="0" r:id="rId5">
            <anchor moveWithCells="1">
              <from>
                <xdr:col>9</xdr:col>
                <xdr:colOff>247650</xdr:colOff>
                <xdr:row>100</xdr:row>
                <xdr:rowOff>19050</xdr:rowOff>
              </from>
              <to>
                <xdr:col>9</xdr:col>
                <xdr:colOff>409575</xdr:colOff>
                <xdr:row>100</xdr:row>
                <xdr:rowOff>142875</xdr:rowOff>
              </to>
            </anchor>
          </controlPr>
        </control>
      </mc:Choice>
      <mc:Fallback>
        <control shapeId="1222" r:id="rId196" name="MatchCORREL6"/>
      </mc:Fallback>
    </mc:AlternateContent>
    <mc:AlternateContent xmlns:mc="http://schemas.openxmlformats.org/markup-compatibility/2006">
      <mc:Choice Requires="x14">
        <control shapeId="1223" r:id="rId197" name="MatchCORREL7">
          <controlPr defaultSize="0" autoLine="0" r:id="rId5">
            <anchor moveWithCells="1">
              <from>
                <xdr:col>10</xdr:col>
                <xdr:colOff>247650</xdr:colOff>
                <xdr:row>100</xdr:row>
                <xdr:rowOff>19050</xdr:rowOff>
              </from>
              <to>
                <xdr:col>10</xdr:col>
                <xdr:colOff>409575</xdr:colOff>
                <xdr:row>100</xdr:row>
                <xdr:rowOff>142875</xdr:rowOff>
              </to>
            </anchor>
          </controlPr>
        </control>
      </mc:Choice>
      <mc:Fallback>
        <control shapeId="1223" r:id="rId197" name="MatchCORREL7"/>
      </mc:Fallback>
    </mc:AlternateContent>
    <mc:AlternateContent xmlns:mc="http://schemas.openxmlformats.org/markup-compatibility/2006">
      <mc:Choice Requires="x14">
        <control shapeId="1224" r:id="rId198" name="MatchCORREL8">
          <controlPr defaultSize="0" autoLine="0" r:id="rId5">
            <anchor moveWithCells="1">
              <from>
                <xdr:col>11</xdr:col>
                <xdr:colOff>247650</xdr:colOff>
                <xdr:row>100</xdr:row>
                <xdr:rowOff>19050</xdr:rowOff>
              </from>
              <to>
                <xdr:col>11</xdr:col>
                <xdr:colOff>409575</xdr:colOff>
                <xdr:row>100</xdr:row>
                <xdr:rowOff>142875</xdr:rowOff>
              </to>
            </anchor>
          </controlPr>
        </control>
      </mc:Choice>
      <mc:Fallback>
        <control shapeId="1224" r:id="rId198" name="MatchCORREL8"/>
      </mc:Fallback>
    </mc:AlternateContent>
    <mc:AlternateContent xmlns:mc="http://schemas.openxmlformats.org/markup-compatibility/2006">
      <mc:Choice Requires="x14">
        <control shapeId="1225" r:id="rId199" name="MatchCORREL9">
          <controlPr defaultSize="0" autoLine="0" r:id="rId5">
            <anchor moveWithCells="1">
              <from>
                <xdr:col>12</xdr:col>
                <xdr:colOff>247650</xdr:colOff>
                <xdr:row>100</xdr:row>
                <xdr:rowOff>19050</xdr:rowOff>
              </from>
              <to>
                <xdr:col>12</xdr:col>
                <xdr:colOff>409575</xdr:colOff>
                <xdr:row>100</xdr:row>
                <xdr:rowOff>142875</xdr:rowOff>
              </to>
            </anchor>
          </controlPr>
        </control>
      </mc:Choice>
      <mc:Fallback>
        <control shapeId="1225" r:id="rId199" name="MatchCORREL9"/>
      </mc:Fallback>
    </mc:AlternateContent>
    <mc:AlternateContent xmlns:mc="http://schemas.openxmlformats.org/markup-compatibility/2006">
      <mc:Choice Requires="x14">
        <control shapeId="1226" r:id="rId200" name="MatchCORREL10">
          <controlPr defaultSize="0" autoLine="0" r:id="rId5">
            <anchor moveWithCells="1">
              <from>
                <xdr:col>13</xdr:col>
                <xdr:colOff>247650</xdr:colOff>
                <xdr:row>100</xdr:row>
                <xdr:rowOff>19050</xdr:rowOff>
              </from>
              <to>
                <xdr:col>13</xdr:col>
                <xdr:colOff>409575</xdr:colOff>
                <xdr:row>100</xdr:row>
                <xdr:rowOff>142875</xdr:rowOff>
              </to>
            </anchor>
          </controlPr>
        </control>
      </mc:Choice>
      <mc:Fallback>
        <control shapeId="1226" r:id="rId200" name="MatchCORREL10"/>
      </mc:Fallback>
    </mc:AlternateContent>
    <mc:AlternateContent xmlns:mc="http://schemas.openxmlformats.org/markup-compatibility/2006">
      <mc:Choice Requires="x14">
        <control shapeId="1227" r:id="rId201" name="MatchCORREL11">
          <controlPr defaultSize="0" autoLine="0" r:id="rId5">
            <anchor moveWithCells="1">
              <from>
                <xdr:col>14</xdr:col>
                <xdr:colOff>247650</xdr:colOff>
                <xdr:row>100</xdr:row>
                <xdr:rowOff>19050</xdr:rowOff>
              </from>
              <to>
                <xdr:col>14</xdr:col>
                <xdr:colOff>409575</xdr:colOff>
                <xdr:row>100</xdr:row>
                <xdr:rowOff>142875</xdr:rowOff>
              </to>
            </anchor>
          </controlPr>
        </control>
      </mc:Choice>
      <mc:Fallback>
        <control shapeId="1227" r:id="rId201" name="MatchCORREL11"/>
      </mc:Fallback>
    </mc:AlternateContent>
    <mc:AlternateContent xmlns:mc="http://schemas.openxmlformats.org/markup-compatibility/2006">
      <mc:Choice Requires="x14">
        <control shapeId="1228" r:id="rId202" name="MatchCORREL12">
          <controlPr defaultSize="0" autoLine="0" r:id="rId5">
            <anchor moveWithCells="1">
              <from>
                <xdr:col>15</xdr:col>
                <xdr:colOff>247650</xdr:colOff>
                <xdr:row>100</xdr:row>
                <xdr:rowOff>19050</xdr:rowOff>
              </from>
              <to>
                <xdr:col>15</xdr:col>
                <xdr:colOff>409575</xdr:colOff>
                <xdr:row>100</xdr:row>
                <xdr:rowOff>142875</xdr:rowOff>
              </to>
            </anchor>
          </controlPr>
        </control>
      </mc:Choice>
      <mc:Fallback>
        <control shapeId="1228" r:id="rId202" name="MatchCORREL12"/>
      </mc:Fallback>
    </mc:AlternateContent>
    <mc:AlternateContent xmlns:mc="http://schemas.openxmlformats.org/markup-compatibility/2006">
      <mc:Choice Requires="x14">
        <control shapeId="1229" r:id="rId203" name="MatchCORREL13">
          <controlPr defaultSize="0" autoLine="0" r:id="rId5">
            <anchor moveWithCells="1">
              <from>
                <xdr:col>16</xdr:col>
                <xdr:colOff>247650</xdr:colOff>
                <xdr:row>100</xdr:row>
                <xdr:rowOff>19050</xdr:rowOff>
              </from>
              <to>
                <xdr:col>16</xdr:col>
                <xdr:colOff>409575</xdr:colOff>
                <xdr:row>100</xdr:row>
                <xdr:rowOff>142875</xdr:rowOff>
              </to>
            </anchor>
          </controlPr>
        </control>
      </mc:Choice>
      <mc:Fallback>
        <control shapeId="1229" r:id="rId203" name="MatchCORREL13"/>
      </mc:Fallback>
    </mc:AlternateContent>
    <mc:AlternateContent xmlns:mc="http://schemas.openxmlformats.org/markup-compatibility/2006">
      <mc:Choice Requires="x14">
        <control shapeId="1230" r:id="rId204" name="MatchCORREL14">
          <controlPr defaultSize="0" autoLine="0" r:id="rId5">
            <anchor moveWithCells="1">
              <from>
                <xdr:col>17</xdr:col>
                <xdr:colOff>247650</xdr:colOff>
                <xdr:row>100</xdr:row>
                <xdr:rowOff>19050</xdr:rowOff>
              </from>
              <to>
                <xdr:col>17</xdr:col>
                <xdr:colOff>409575</xdr:colOff>
                <xdr:row>100</xdr:row>
                <xdr:rowOff>142875</xdr:rowOff>
              </to>
            </anchor>
          </controlPr>
        </control>
      </mc:Choice>
      <mc:Fallback>
        <control shapeId="1230" r:id="rId204" name="MatchCORREL14"/>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Y119"/>
  <sheetViews>
    <sheetView topLeftCell="A31" zoomScale="70" zoomScaleNormal="70" workbookViewId="0">
      <selection activeCell="A81" sqref="A81:XFD87"/>
    </sheetView>
  </sheetViews>
  <sheetFormatPr defaultColWidth="8.85546875" defaultRowHeight="15"/>
  <cols>
    <col min="1" max="1" width="56.7109375" style="2" customWidth="1"/>
    <col min="2" max="2" width="9.7109375" style="3" customWidth="1"/>
    <col min="3" max="4" width="9.7109375" style="2" customWidth="1"/>
    <col min="5" max="19" width="9.28515625" style="3" customWidth="1"/>
    <col min="20" max="20" width="9.28515625" style="138" customWidth="1"/>
    <col min="21" max="21" width="6.7109375" style="137" customWidth="1"/>
    <col min="22" max="22" width="43.5703125" style="137" customWidth="1"/>
    <col min="23" max="23" width="97.7109375" style="137" customWidth="1"/>
    <col min="24" max="24" width="39.28515625" style="2" customWidth="1"/>
    <col min="25" max="25" width="34.5703125" style="2" customWidth="1"/>
    <col min="26" max="16384" width="8.85546875" style="2"/>
  </cols>
  <sheetData>
    <row r="1" spans="1:25" s="7" customFormat="1" ht="25.15" customHeight="1">
      <c r="A1" s="15"/>
      <c r="B1" s="15"/>
      <c r="C1" s="15"/>
      <c r="D1" s="15"/>
      <c r="E1" s="15"/>
      <c r="F1" s="15"/>
      <c r="G1" s="15"/>
      <c r="H1" s="15"/>
      <c r="I1" s="15"/>
      <c r="J1" s="15"/>
      <c r="K1" s="15"/>
      <c r="L1" s="15"/>
      <c r="M1" s="15"/>
      <c r="N1" s="15"/>
      <c r="O1" s="15"/>
      <c r="P1" s="15"/>
      <c r="Q1" s="15"/>
      <c r="R1" s="15"/>
      <c r="S1" s="15"/>
      <c r="T1" s="147">
        <f>SUM(T4:T93)</f>
        <v>32</v>
      </c>
      <c r="U1" s="141"/>
      <c r="V1" s="141"/>
      <c r="W1" s="141"/>
      <c r="X1" s="141"/>
      <c r="Y1" s="141"/>
    </row>
    <row r="2" spans="1:25" s="8" customFormat="1" ht="19.899999999999999" customHeight="1" thickBot="1">
      <c r="A2" s="16" t="s">
        <v>112</v>
      </c>
      <c r="B2" s="16"/>
      <c r="C2" s="16"/>
      <c r="D2" s="16"/>
      <c r="E2" s="16"/>
      <c r="F2" s="16"/>
      <c r="G2" s="16"/>
      <c r="H2" s="16"/>
      <c r="I2" s="16"/>
      <c r="J2" s="16"/>
      <c r="K2" s="16"/>
      <c r="L2" s="16"/>
      <c r="M2" s="16"/>
      <c r="N2" s="16"/>
      <c r="O2" s="16"/>
      <c r="P2" s="16"/>
      <c r="Q2" s="16"/>
      <c r="R2" s="16"/>
      <c r="S2" s="16"/>
      <c r="T2" s="148"/>
      <c r="U2" s="142"/>
      <c r="V2" s="142"/>
      <c r="W2" s="142"/>
      <c r="X2" s="142"/>
      <c r="Y2" s="142"/>
    </row>
    <row r="3" spans="1:25" s="14" customFormat="1" ht="25.15" customHeight="1" thickBot="1">
      <c r="A3" s="64" t="s">
        <v>106</v>
      </c>
      <c r="B3" s="47" t="s">
        <v>103</v>
      </c>
      <c r="C3" s="48" t="s">
        <v>104</v>
      </c>
      <c r="D3" s="49" t="s">
        <v>105</v>
      </c>
      <c r="E3" s="46" t="s">
        <v>85</v>
      </c>
      <c r="F3" s="46" t="s">
        <v>89</v>
      </c>
      <c r="G3" s="46" t="s">
        <v>86</v>
      </c>
      <c r="H3" s="46" t="s">
        <v>87</v>
      </c>
      <c r="I3" s="46" t="s">
        <v>88</v>
      </c>
      <c r="J3" s="46" t="s">
        <v>96</v>
      </c>
      <c r="K3" s="46" t="s">
        <v>97</v>
      </c>
      <c r="L3" s="46" t="s">
        <v>94</v>
      </c>
      <c r="M3" s="46" t="s">
        <v>98</v>
      </c>
      <c r="N3" s="46" t="s">
        <v>101</v>
      </c>
      <c r="O3" s="46" t="s">
        <v>90</v>
      </c>
      <c r="P3" s="46" t="s">
        <v>99</v>
      </c>
      <c r="Q3" s="46" t="s">
        <v>100</v>
      </c>
      <c r="R3" s="50" t="s">
        <v>102</v>
      </c>
      <c r="S3" s="18"/>
      <c r="T3" s="150"/>
      <c r="U3" s="146"/>
      <c r="V3" s="146"/>
      <c r="W3" s="146"/>
      <c r="X3" s="146"/>
      <c r="Y3" s="146"/>
    </row>
    <row r="4" spans="1:25" s="14" customFormat="1" ht="12.75" customHeight="1">
      <c r="A4" s="64" t="s">
        <v>1</v>
      </c>
      <c r="B4" s="51">
        <v>1</v>
      </c>
      <c r="C4" s="44"/>
      <c r="D4" s="52"/>
      <c r="E4" s="66">
        <v>-1.0000000000000001E-5</v>
      </c>
      <c r="F4" s="66">
        <v>2.0000000000000002E-5</v>
      </c>
      <c r="G4" s="66">
        <v>5.9000000000000003E-4</v>
      </c>
      <c r="H4" s="66">
        <v>1.0000000000000001E-5</v>
      </c>
      <c r="I4" s="66">
        <v>4.0000000000000003E-5</v>
      </c>
      <c r="J4" s="66">
        <v>-1E-4</v>
      </c>
      <c r="K4" s="66">
        <v>-1.0000000000000001E-5</v>
      </c>
      <c r="L4" s="66">
        <v>-1.0000000000000001E-5</v>
      </c>
      <c r="M4" s="66">
        <v>2.0000000000000002E-5</v>
      </c>
      <c r="N4" s="66">
        <v>5.0000000000000002E-5</v>
      </c>
      <c r="O4" s="66">
        <v>2.3999999999999998E-3</v>
      </c>
      <c r="P4" s="66">
        <v>-1.0000000000000001E-5</v>
      </c>
      <c r="Q4" s="66">
        <v>1.3999999999999999E-4</v>
      </c>
      <c r="R4" s="67">
        <v>-1.0000000000000001E-5</v>
      </c>
      <c r="S4" s="18"/>
      <c r="T4" s="150"/>
      <c r="U4" s="229">
        <v>1</v>
      </c>
      <c r="V4" s="131" t="s">
        <v>1</v>
      </c>
      <c r="W4" s="130" t="s">
        <v>147</v>
      </c>
      <c r="X4" s="146"/>
      <c r="Y4" s="146"/>
    </row>
    <row r="5" spans="1:25" s="14" customFormat="1" ht="12.75" customHeight="1">
      <c r="A5" s="63" t="s">
        <v>2</v>
      </c>
      <c r="B5" s="38">
        <v>1</v>
      </c>
      <c r="C5" s="22"/>
      <c r="D5" s="34"/>
      <c r="E5" s="21">
        <v>-5.9999999999999995E-4</v>
      </c>
      <c r="F5" s="21">
        <v>-9.5E-4</v>
      </c>
      <c r="G5" s="21">
        <v>8.0000000000000007E-5</v>
      </c>
      <c r="H5" s="21">
        <v>-2.7E-4</v>
      </c>
      <c r="I5" s="21">
        <v>-4.8999999999999998E-4</v>
      </c>
      <c r="J5" s="21">
        <v>1.14E-3</v>
      </c>
      <c r="K5" s="21">
        <v>-4.8000000000000001E-4</v>
      </c>
      <c r="L5" s="21">
        <v>4.6000000000000001E-4</v>
      </c>
      <c r="M5" s="21">
        <v>-6.4999999999999997E-4</v>
      </c>
      <c r="N5" s="21">
        <v>1.3999999999999999E-4</v>
      </c>
      <c r="O5" s="21">
        <v>4.0000000000000003E-5</v>
      </c>
      <c r="P5" s="21">
        <v>4.6999999999999999E-4</v>
      </c>
      <c r="Q5" s="21">
        <v>5.8E-4</v>
      </c>
      <c r="R5" s="60">
        <v>-1.1299999999999999E-3</v>
      </c>
      <c r="S5" s="18"/>
      <c r="T5" s="150"/>
      <c r="U5" s="229">
        <f>U4+1</f>
        <v>2</v>
      </c>
      <c r="V5" s="131" t="s">
        <v>2</v>
      </c>
      <c r="W5" s="130" t="s">
        <v>149</v>
      </c>
      <c r="X5" s="146"/>
      <c r="Y5" s="146"/>
    </row>
    <row r="6" spans="1:25" s="14" customFormat="1" ht="12.75" customHeight="1">
      <c r="A6" s="230" t="s">
        <v>3</v>
      </c>
      <c r="B6" s="38">
        <v>1</v>
      </c>
      <c r="C6" s="22"/>
      <c r="D6" s="34"/>
      <c r="E6" s="21">
        <v>-3.5200000000000001E-3</v>
      </c>
      <c r="F6" s="21">
        <v>-5.64E-3</v>
      </c>
      <c r="G6" s="21">
        <v>4.6999999999999999E-4</v>
      </c>
      <c r="H6" s="21">
        <v>1.1299999999999999E-3</v>
      </c>
      <c r="I6" s="21">
        <v>-2.8800000000000002E-3</v>
      </c>
      <c r="J6" s="21">
        <v>6.94E-3</v>
      </c>
      <c r="K6" s="21">
        <v>-2.5799999999999998E-3</v>
      </c>
      <c r="L6" s="21">
        <v>2.7000000000000001E-3</v>
      </c>
      <c r="M6" s="21">
        <v>-3.7299999999999998E-3</v>
      </c>
      <c r="N6" s="21">
        <v>7.9000000000000001E-4</v>
      </c>
      <c r="O6" s="21">
        <v>2.1000000000000001E-4</v>
      </c>
      <c r="P6" s="21">
        <v>2.9399999999999999E-3</v>
      </c>
      <c r="Q6" s="21">
        <v>3.4299999999999999E-3</v>
      </c>
      <c r="R6" s="60">
        <v>-6.6699999999999997E-3</v>
      </c>
      <c r="S6" s="18"/>
      <c r="T6" s="150">
        <v>1</v>
      </c>
      <c r="U6" s="129">
        <f t="shared" ref="U6:U69" si="0">U5+1</f>
        <v>3</v>
      </c>
      <c r="V6" s="128" t="s">
        <v>3</v>
      </c>
      <c r="W6" s="229"/>
      <c r="X6" s="146"/>
      <c r="Y6" s="146"/>
    </row>
    <row r="7" spans="1:25" s="14" customFormat="1" ht="12.75" customHeight="1">
      <c r="A7" s="230" t="s">
        <v>4</v>
      </c>
      <c r="B7" s="38">
        <v>1</v>
      </c>
      <c r="C7" s="22"/>
      <c r="D7" s="34"/>
      <c r="E7" s="21">
        <v>-2.6800000000000001E-3</v>
      </c>
      <c r="F7" s="21">
        <v>-4.0000000000000001E-3</v>
      </c>
      <c r="G7" s="21">
        <v>2.5000000000000001E-4</v>
      </c>
      <c r="H7" s="21">
        <v>7.6999999999999996E-4</v>
      </c>
      <c r="I7" s="21">
        <v>1.7799999999999999E-3</v>
      </c>
      <c r="J7" s="21">
        <v>-6.7299999999999999E-3</v>
      </c>
      <c r="K7" s="21">
        <v>-1.8E-3</v>
      </c>
      <c r="L7" s="21">
        <v>1.91E-3</v>
      </c>
      <c r="M7" s="21">
        <v>-2.3700000000000001E-3</v>
      </c>
      <c r="N7" s="21">
        <v>5.0000000000000001E-4</v>
      </c>
      <c r="O7" s="21">
        <v>9.0000000000000006E-5</v>
      </c>
      <c r="P7" s="21">
        <v>1.91E-3</v>
      </c>
      <c r="Q7" s="21">
        <v>2.2300000000000002E-3</v>
      </c>
      <c r="R7" s="60">
        <v>-4.7000000000000002E-3</v>
      </c>
      <c r="S7" s="18"/>
      <c r="T7" s="150">
        <v>1</v>
      </c>
      <c r="U7" s="129">
        <f t="shared" si="0"/>
        <v>4</v>
      </c>
      <c r="V7" s="128" t="s">
        <v>4</v>
      </c>
      <c r="W7" s="229"/>
      <c r="X7" s="146"/>
      <c r="Y7" s="146"/>
    </row>
    <row r="8" spans="1:25" s="14" customFormat="1" ht="12.75" customHeight="1">
      <c r="A8" s="63" t="s">
        <v>5</v>
      </c>
      <c r="B8" s="38">
        <v>1</v>
      </c>
      <c r="C8" s="22"/>
      <c r="D8" s="34"/>
      <c r="E8" s="21">
        <v>-9.9100000000000004E-3</v>
      </c>
      <c r="F8" s="21">
        <v>-1.0000000000000001E-5</v>
      </c>
      <c r="G8" s="21">
        <v>0</v>
      </c>
      <c r="H8" s="21">
        <v>0</v>
      </c>
      <c r="I8" s="21">
        <v>0</v>
      </c>
      <c r="J8" s="21">
        <v>2.0000000000000002E-5</v>
      </c>
      <c r="K8" s="21">
        <v>0</v>
      </c>
      <c r="L8" s="21">
        <v>0</v>
      </c>
      <c r="M8" s="21">
        <v>0</v>
      </c>
      <c r="N8" s="21">
        <v>0</v>
      </c>
      <c r="O8" s="21">
        <v>0</v>
      </c>
      <c r="P8" s="21">
        <v>0</v>
      </c>
      <c r="Q8" s="21">
        <v>0</v>
      </c>
      <c r="R8" s="60">
        <v>-1.0000000000000001E-5</v>
      </c>
      <c r="S8" s="18"/>
      <c r="T8" s="150"/>
      <c r="U8" s="229">
        <f t="shared" si="0"/>
        <v>5</v>
      </c>
      <c r="V8" s="131" t="s">
        <v>5</v>
      </c>
      <c r="W8" s="130" t="s">
        <v>154</v>
      </c>
      <c r="X8" s="146"/>
      <c r="Y8" s="146"/>
    </row>
    <row r="9" spans="1:25" s="14" customFormat="1" ht="12.75" customHeight="1">
      <c r="A9" s="230" t="s">
        <v>6</v>
      </c>
      <c r="B9" s="38">
        <v>1</v>
      </c>
      <c r="C9" s="22"/>
      <c r="D9" s="34"/>
      <c r="E9" s="21">
        <v>-4.7299999999999998E-3</v>
      </c>
      <c r="F9" s="21">
        <v>-5.5199999999999997E-3</v>
      </c>
      <c r="G9" s="21">
        <v>-1.4999999999999999E-4</v>
      </c>
      <c r="H9" s="21">
        <v>8.0999999999999996E-4</v>
      </c>
      <c r="I9" s="21">
        <v>5.2599999999999999E-3</v>
      </c>
      <c r="J9" s="21">
        <v>-9.4400000000000005E-3</v>
      </c>
      <c r="K9" s="21">
        <v>-2.5500000000000002E-3</v>
      </c>
      <c r="L9" s="21">
        <v>2.64E-3</v>
      </c>
      <c r="M9" s="21">
        <v>1.6199999999999999E-3</v>
      </c>
      <c r="N9" s="21">
        <v>2.9999999999999997E-4</v>
      </c>
      <c r="O9" s="21">
        <v>-2.2000000000000001E-4</v>
      </c>
      <c r="P9" s="21">
        <v>1.4599999999999999E-3</v>
      </c>
      <c r="Q9" s="21">
        <v>1.8699999999999999E-3</v>
      </c>
      <c r="R9" s="60">
        <v>-6.28E-3</v>
      </c>
      <c r="S9" s="18"/>
      <c r="T9" s="150">
        <v>1</v>
      </c>
      <c r="U9" s="129">
        <f t="shared" si="0"/>
        <v>6</v>
      </c>
      <c r="V9" s="128" t="s">
        <v>6</v>
      </c>
      <c r="W9" s="229"/>
      <c r="X9" s="146"/>
      <c r="Y9" s="146"/>
    </row>
    <row r="10" spans="1:25" s="14" customFormat="1" ht="12.75" customHeight="1">
      <c r="A10" s="230" t="s">
        <v>7</v>
      </c>
      <c r="B10" s="38">
        <v>1</v>
      </c>
      <c r="C10" s="22"/>
      <c r="D10" s="34"/>
      <c r="E10" s="21">
        <v>-4.96E-3</v>
      </c>
      <c r="F10" s="21">
        <v>-6.5900000000000004E-3</v>
      </c>
      <c r="G10" s="21">
        <v>8.0000000000000007E-5</v>
      </c>
      <c r="H10" s="21">
        <v>1.1900000000000001E-3</v>
      </c>
      <c r="I10" s="21">
        <v>-1.47E-3</v>
      </c>
      <c r="J10" s="21">
        <v>1.112E-2</v>
      </c>
      <c r="K10" s="21">
        <v>2.99E-3</v>
      </c>
      <c r="L10" s="21">
        <v>3.16E-3</v>
      </c>
      <c r="M10" s="21">
        <v>2.9999999999999997E-4</v>
      </c>
      <c r="N10" s="21">
        <v>5.6999999999999998E-4</v>
      </c>
      <c r="O10" s="21">
        <v>-8.0000000000000007E-5</v>
      </c>
      <c r="P10" s="21">
        <v>3.2200000000000002E-3</v>
      </c>
      <c r="Q10" s="21">
        <v>2.8300000000000001E-3</v>
      </c>
      <c r="R10" s="60">
        <v>-7.4799999999999997E-3</v>
      </c>
      <c r="S10" s="18"/>
      <c r="T10" s="150">
        <v>1</v>
      </c>
      <c r="U10" s="129">
        <f t="shared" si="0"/>
        <v>7</v>
      </c>
      <c r="V10" s="128" t="s">
        <v>7</v>
      </c>
      <c r="W10" s="229"/>
      <c r="X10" s="146"/>
      <c r="Y10" s="146"/>
    </row>
    <row r="11" spans="1:25" s="14" customFormat="1" ht="12.75" customHeight="1">
      <c r="A11" s="230" t="s">
        <v>8</v>
      </c>
      <c r="B11" s="38">
        <v>1</v>
      </c>
      <c r="C11" s="22"/>
      <c r="D11" s="34"/>
      <c r="E11" s="21">
        <v>-3.8000000000000002E-4</v>
      </c>
      <c r="F11" s="21">
        <v>-3.1E-4</v>
      </c>
      <c r="G11" s="21">
        <v>3.13E-3</v>
      </c>
      <c r="H11" s="21">
        <v>1.2E-4</v>
      </c>
      <c r="I11" s="21">
        <v>-6.9999999999999994E-5</v>
      </c>
      <c r="J11" s="21">
        <v>7.1000000000000002E-4</v>
      </c>
      <c r="K11" s="21">
        <v>2.7999999999999998E-4</v>
      </c>
      <c r="L11" s="21">
        <v>1.4999999999999999E-4</v>
      </c>
      <c r="M11" s="21">
        <v>9.0000000000000006E-5</v>
      </c>
      <c r="N11" s="21">
        <v>-7.1000000000000002E-4</v>
      </c>
      <c r="O11" s="21">
        <v>2.4199999999999998E-3</v>
      </c>
      <c r="P11" s="21">
        <v>1.6000000000000001E-4</v>
      </c>
      <c r="Q11" s="21">
        <v>-1.9000000000000001E-4</v>
      </c>
      <c r="R11" s="60">
        <v>-4.5700000000000003E-3</v>
      </c>
      <c r="S11" s="18"/>
      <c r="T11" s="150">
        <v>1</v>
      </c>
      <c r="U11" s="129">
        <f t="shared" si="0"/>
        <v>8</v>
      </c>
      <c r="V11" s="128" t="s">
        <v>8</v>
      </c>
      <c r="W11" s="229"/>
      <c r="X11" s="146"/>
      <c r="Y11" s="146"/>
    </row>
    <row r="12" spans="1:25" s="14" customFormat="1" ht="12.75" customHeight="1">
      <c r="A12" s="63" t="s">
        <v>9</v>
      </c>
      <c r="B12" s="38">
        <v>1</v>
      </c>
      <c r="C12" s="22"/>
      <c r="D12" s="34"/>
      <c r="E12" s="21">
        <v>-1.2999999999999999E-4</v>
      </c>
      <c r="F12" s="21">
        <v>-4.6999999999999999E-4</v>
      </c>
      <c r="G12" s="21">
        <v>-4.4799999999999996E-3</v>
      </c>
      <c r="H12" s="21">
        <v>0</v>
      </c>
      <c r="I12" s="21">
        <v>-1.1E-4</v>
      </c>
      <c r="J12" s="21">
        <v>5.4000000000000001E-4</v>
      </c>
      <c r="K12" s="21">
        <v>2.0000000000000002E-5</v>
      </c>
      <c r="L12" s="21">
        <v>2.2000000000000001E-4</v>
      </c>
      <c r="M12" s="21">
        <v>-8.0000000000000007E-5</v>
      </c>
      <c r="N12" s="21">
        <v>9.0000000000000006E-5</v>
      </c>
      <c r="O12" s="21">
        <v>-5.2999999999999998E-4</v>
      </c>
      <c r="P12" s="21">
        <v>2.2000000000000001E-4</v>
      </c>
      <c r="Q12" s="21">
        <v>-8.8999999999999995E-4</v>
      </c>
      <c r="R12" s="60">
        <v>-1.8000000000000001E-4</v>
      </c>
      <c r="S12" s="18"/>
      <c r="T12" s="150"/>
      <c r="U12" s="229">
        <f t="shared" si="0"/>
        <v>9</v>
      </c>
      <c r="V12" s="131" t="s">
        <v>9</v>
      </c>
      <c r="W12" s="130" t="s">
        <v>148</v>
      </c>
      <c r="X12" s="146"/>
      <c r="Y12" s="146"/>
    </row>
    <row r="13" spans="1:25" s="14" customFormat="1" ht="12.75" customHeight="1">
      <c r="A13" s="63" t="s">
        <v>10</v>
      </c>
      <c r="B13" s="38">
        <v>1</v>
      </c>
      <c r="C13" s="22"/>
      <c r="D13" s="34"/>
      <c r="E13" s="21">
        <v>6.9999999999999994E-5</v>
      </c>
      <c r="F13" s="21">
        <v>1E-4</v>
      </c>
      <c r="G13" s="21">
        <v>0</v>
      </c>
      <c r="H13" s="21">
        <v>3.0000000000000001E-5</v>
      </c>
      <c r="I13" s="21">
        <v>5.0000000000000002E-5</v>
      </c>
      <c r="J13" s="21">
        <v>-1.2999999999999999E-4</v>
      </c>
      <c r="K13" s="21">
        <v>3.0000000000000001E-5</v>
      </c>
      <c r="L13" s="21">
        <v>-5.0000000000000002E-5</v>
      </c>
      <c r="M13" s="21">
        <v>5.0000000000000002E-5</v>
      </c>
      <c r="N13" s="21">
        <v>-1.0000000000000001E-5</v>
      </c>
      <c r="O13" s="21">
        <v>0</v>
      </c>
      <c r="P13" s="21">
        <v>-5.0000000000000002E-5</v>
      </c>
      <c r="Q13" s="21">
        <v>-5.0000000000000002E-5</v>
      </c>
      <c r="R13" s="60">
        <v>1.1E-4</v>
      </c>
      <c r="S13" s="18"/>
      <c r="T13" s="150"/>
      <c r="U13" s="229">
        <f t="shared" si="0"/>
        <v>10</v>
      </c>
      <c r="V13" s="131" t="s">
        <v>10</v>
      </c>
      <c r="W13" s="130" t="s">
        <v>147</v>
      </c>
      <c r="X13" s="146"/>
      <c r="Y13" s="146"/>
    </row>
    <row r="14" spans="1:25" s="14" customFormat="1" ht="12.75" customHeight="1">
      <c r="A14" s="63" t="s">
        <v>11</v>
      </c>
      <c r="B14" s="38">
        <v>1</v>
      </c>
      <c r="C14" s="22"/>
      <c r="D14" s="34"/>
      <c r="E14" s="21">
        <v>-6.0000000000000002E-5</v>
      </c>
      <c r="F14" s="21">
        <v>-1.1E-4</v>
      </c>
      <c r="G14" s="21">
        <v>2.0000000000000002E-5</v>
      </c>
      <c r="H14" s="21">
        <v>-2.1299999999999999E-3</v>
      </c>
      <c r="I14" s="21">
        <v>-4.0000000000000003E-5</v>
      </c>
      <c r="J14" s="21">
        <v>-1.2E-4</v>
      </c>
      <c r="K14" s="21">
        <v>-2.5000000000000001E-4</v>
      </c>
      <c r="L14" s="21">
        <v>5.0000000000000002E-5</v>
      </c>
      <c r="M14" s="21">
        <v>-1.8000000000000001E-4</v>
      </c>
      <c r="N14" s="21">
        <v>3.0000000000000001E-5</v>
      </c>
      <c r="O14" s="21">
        <v>1.0000000000000001E-5</v>
      </c>
      <c r="P14" s="21">
        <v>-6.0000000000000002E-5</v>
      </c>
      <c r="Q14" s="21">
        <v>1E-4</v>
      </c>
      <c r="R14" s="60">
        <v>-1.3999999999999999E-4</v>
      </c>
      <c r="S14" s="18"/>
      <c r="T14" s="150"/>
      <c r="U14" s="229">
        <f t="shared" si="0"/>
        <v>11</v>
      </c>
      <c r="V14" s="131" t="s">
        <v>11</v>
      </c>
      <c r="W14" s="130" t="s">
        <v>151</v>
      </c>
      <c r="X14" s="146"/>
      <c r="Y14" s="146"/>
    </row>
    <row r="15" spans="1:25" s="14" customFormat="1" ht="12.75" customHeight="1">
      <c r="A15" s="63" t="s">
        <v>12</v>
      </c>
      <c r="B15" s="38">
        <v>1</v>
      </c>
      <c r="C15" s="22"/>
      <c r="D15" s="34"/>
      <c r="E15" s="21">
        <v>-2.3000000000000001E-4</v>
      </c>
      <c r="F15" s="21">
        <v>-4.4999999999999999E-4</v>
      </c>
      <c r="G15" s="21">
        <v>6.9999999999999994E-5</v>
      </c>
      <c r="H15" s="21">
        <v>1E-4</v>
      </c>
      <c r="I15" s="21">
        <v>-2.96E-3</v>
      </c>
      <c r="J15" s="21">
        <v>-7.5000000000000002E-4</v>
      </c>
      <c r="K15" s="21">
        <v>-2.0000000000000001E-4</v>
      </c>
      <c r="L15" s="21">
        <v>2.1000000000000001E-4</v>
      </c>
      <c r="M15" s="21">
        <v>-4.4999999999999999E-4</v>
      </c>
      <c r="N15" s="21">
        <v>9.0000000000000006E-5</v>
      </c>
      <c r="O15" s="21">
        <v>4.0000000000000003E-5</v>
      </c>
      <c r="P15" s="21">
        <v>3.1E-4</v>
      </c>
      <c r="Q15" s="21">
        <v>3.5E-4</v>
      </c>
      <c r="R15" s="60">
        <v>-5.4000000000000001E-4</v>
      </c>
      <c r="S15" s="18"/>
      <c r="T15" s="150"/>
      <c r="U15" s="229">
        <f t="shared" si="0"/>
        <v>12</v>
      </c>
      <c r="V15" s="131" t="s">
        <v>12</v>
      </c>
      <c r="W15" s="130" t="s">
        <v>152</v>
      </c>
      <c r="X15" s="146"/>
      <c r="Y15" s="146"/>
    </row>
    <row r="16" spans="1:25" s="14" customFormat="1" ht="12.75" customHeight="1">
      <c r="A16" s="230" t="s">
        <v>13</v>
      </c>
      <c r="B16" s="38">
        <v>1</v>
      </c>
      <c r="C16" s="22"/>
      <c r="D16" s="34"/>
      <c r="E16" s="21">
        <v>1.3559999999999999E-2</v>
      </c>
      <c r="F16" s="21">
        <v>4.7600000000000003E-3</v>
      </c>
      <c r="G16" s="21">
        <v>4.3600000000000002E-3</v>
      </c>
      <c r="H16" s="21">
        <v>1.3699999999999999E-3</v>
      </c>
      <c r="I16" s="21">
        <v>-1.2800000000000001E-3</v>
      </c>
      <c r="J16" s="21">
        <v>8.5800000000000008E-3</v>
      </c>
      <c r="K16" s="21">
        <v>2.4399999999999999E-3</v>
      </c>
      <c r="L16" s="21">
        <v>-2.2599999999999999E-3</v>
      </c>
      <c r="M16" s="21">
        <v>-8.5999999999999998E-4</v>
      </c>
      <c r="N16" s="21">
        <v>3.1099999999999999E-3</v>
      </c>
      <c r="O16" s="21">
        <v>3.2200000000000002E-3</v>
      </c>
      <c r="P16" s="21">
        <v>8.6E-3</v>
      </c>
      <c r="Q16" s="21">
        <v>8.77E-3</v>
      </c>
      <c r="R16" s="60">
        <v>3.7299999999999998E-3</v>
      </c>
      <c r="S16" s="18"/>
      <c r="T16" s="150">
        <v>1</v>
      </c>
      <c r="U16" s="129">
        <f t="shared" si="0"/>
        <v>13</v>
      </c>
      <c r="V16" s="128" t="s">
        <v>13</v>
      </c>
      <c r="W16" s="229"/>
      <c r="X16" s="146"/>
      <c r="Y16" s="146"/>
    </row>
    <row r="17" spans="1:25" s="14" customFormat="1" ht="12.75" customHeight="1">
      <c r="A17" s="230" t="s">
        <v>14</v>
      </c>
      <c r="B17" s="38">
        <v>1</v>
      </c>
      <c r="C17" s="22"/>
      <c r="D17" s="34"/>
      <c r="E17" s="21">
        <v>6.4000000000000005E-4</v>
      </c>
      <c r="F17" s="21">
        <v>1.42E-3</v>
      </c>
      <c r="G17" s="21">
        <v>-1.7000000000000001E-4</v>
      </c>
      <c r="H17" s="21">
        <v>-3.8999999999999999E-4</v>
      </c>
      <c r="I17" s="21">
        <v>5.6600000000000001E-3</v>
      </c>
      <c r="J17" s="21">
        <v>-1.7749999999999998E-2</v>
      </c>
      <c r="K17" s="21">
        <v>-4.81E-3</v>
      </c>
      <c r="L17" s="21">
        <v>-6.7000000000000002E-4</v>
      </c>
      <c r="M17" s="21">
        <v>9.7999999999999997E-4</v>
      </c>
      <c r="N17" s="21">
        <v>-2.5000000000000001E-4</v>
      </c>
      <c r="O17" s="21">
        <v>-9.0000000000000006E-5</v>
      </c>
      <c r="P17" s="21">
        <v>-1.153E-2</v>
      </c>
      <c r="Q17" s="21">
        <v>-9.3999999999999997E-4</v>
      </c>
      <c r="R17" s="60">
        <v>1.58E-3</v>
      </c>
      <c r="S17" s="18"/>
      <c r="T17" s="150">
        <v>1</v>
      </c>
      <c r="U17" s="129">
        <f t="shared" si="0"/>
        <v>14</v>
      </c>
      <c r="V17" s="128" t="s">
        <v>14</v>
      </c>
      <c r="W17" s="229"/>
      <c r="X17" s="146"/>
      <c r="Y17" s="146"/>
    </row>
    <row r="18" spans="1:25" s="14" customFormat="1" ht="12.75" customHeight="1">
      <c r="A18" s="63" t="s">
        <v>15</v>
      </c>
      <c r="B18" s="38">
        <v>1</v>
      </c>
      <c r="C18" s="22"/>
      <c r="D18" s="34"/>
      <c r="E18" s="21">
        <v>-4.2300000000000003E-3</v>
      </c>
      <c r="F18" s="21">
        <v>-5.7299999999999999E-3</v>
      </c>
      <c r="G18" s="21">
        <v>-1.66E-3</v>
      </c>
      <c r="H18" s="21">
        <v>1E-3</v>
      </c>
      <c r="I18" s="21">
        <v>-1.2899999999999999E-3</v>
      </c>
      <c r="J18" s="21">
        <v>9.5899999999999996E-3</v>
      </c>
      <c r="K18" s="21">
        <v>2.5300000000000001E-3</v>
      </c>
      <c r="L18" s="21">
        <v>2.7499999999999998E-3</v>
      </c>
      <c r="M18" s="21">
        <v>2.2000000000000001E-4</v>
      </c>
      <c r="N18" s="21">
        <v>8.9999999999999998E-4</v>
      </c>
      <c r="O18" s="21">
        <v>-1.4E-3</v>
      </c>
      <c r="P18" s="21">
        <v>2.8E-3</v>
      </c>
      <c r="Q18" s="21">
        <v>-7.28E-3</v>
      </c>
      <c r="R18" s="60">
        <v>-4.1900000000000001E-3</v>
      </c>
      <c r="S18" s="18"/>
      <c r="T18" s="150"/>
      <c r="U18" s="229">
        <f t="shared" si="0"/>
        <v>15</v>
      </c>
      <c r="V18" s="131" t="s">
        <v>15</v>
      </c>
      <c r="W18" s="130" t="s">
        <v>155</v>
      </c>
      <c r="X18" s="146"/>
      <c r="Y18" s="146"/>
    </row>
    <row r="19" spans="1:25" s="14" customFormat="1" ht="12.75" customHeight="1">
      <c r="A19" s="63" t="s">
        <v>16</v>
      </c>
      <c r="B19" s="38">
        <v>1</v>
      </c>
      <c r="C19" s="22"/>
      <c r="D19" s="34"/>
      <c r="E19" s="21">
        <v>5.9999999999999995E-4</v>
      </c>
      <c r="F19" s="21">
        <v>9.6000000000000002E-4</v>
      </c>
      <c r="G19" s="21">
        <v>-8.0000000000000007E-5</v>
      </c>
      <c r="H19" s="21">
        <v>2.7E-4</v>
      </c>
      <c r="I19" s="21">
        <v>4.8999999999999998E-4</v>
      </c>
      <c r="J19" s="21">
        <v>-1.14E-3</v>
      </c>
      <c r="K19" s="21">
        <v>4.8000000000000001E-4</v>
      </c>
      <c r="L19" s="21">
        <v>-4.6000000000000001E-4</v>
      </c>
      <c r="M19" s="21">
        <v>6.4999999999999997E-4</v>
      </c>
      <c r="N19" s="21">
        <v>-1.2999999999999999E-4</v>
      </c>
      <c r="O19" s="21">
        <v>-4.0000000000000003E-5</v>
      </c>
      <c r="P19" s="21">
        <v>-4.6999999999999999E-4</v>
      </c>
      <c r="Q19" s="21">
        <v>-5.8E-4</v>
      </c>
      <c r="R19" s="60">
        <v>1.1299999999999999E-3</v>
      </c>
      <c r="S19" s="18"/>
      <c r="T19" s="150"/>
      <c r="U19" s="229">
        <f t="shared" si="0"/>
        <v>16</v>
      </c>
      <c r="V19" s="131" t="s">
        <v>16</v>
      </c>
      <c r="W19" s="127" t="s">
        <v>150</v>
      </c>
      <c r="X19" s="146"/>
      <c r="Y19" s="146"/>
    </row>
    <row r="20" spans="1:25" s="14" customFormat="1" ht="12.75" customHeight="1">
      <c r="A20" s="63" t="s">
        <v>17</v>
      </c>
      <c r="B20" s="38">
        <v>1</v>
      </c>
      <c r="C20" s="22"/>
      <c r="D20" s="34"/>
      <c r="E20" s="21">
        <v>2.3400000000000001E-3</v>
      </c>
      <c r="F20" s="21">
        <v>3.7499999999999999E-3</v>
      </c>
      <c r="G20" s="21">
        <v>-3.1E-4</v>
      </c>
      <c r="H20" s="21">
        <v>1.06E-3</v>
      </c>
      <c r="I20" s="21">
        <v>1.9300000000000001E-3</v>
      </c>
      <c r="J20" s="21">
        <v>-4.4299999999999999E-3</v>
      </c>
      <c r="K20" s="21">
        <v>1.8799999999999999E-3</v>
      </c>
      <c r="L20" s="21">
        <v>-1.7799999999999999E-3</v>
      </c>
      <c r="M20" s="21">
        <v>2.5600000000000002E-3</v>
      </c>
      <c r="N20" s="21">
        <v>-5.1999999999999995E-4</v>
      </c>
      <c r="O20" s="21">
        <v>-1.3999999999999999E-4</v>
      </c>
      <c r="P20" s="21">
        <v>-1.82E-3</v>
      </c>
      <c r="Q20" s="21">
        <v>-2.2599999999999999E-3</v>
      </c>
      <c r="R20" s="60">
        <v>4.4400000000000004E-3</v>
      </c>
      <c r="S20" s="18"/>
      <c r="T20" s="150"/>
      <c r="U20" s="229">
        <f t="shared" si="0"/>
        <v>17</v>
      </c>
      <c r="V20" s="131" t="s">
        <v>17</v>
      </c>
      <c r="W20" s="130" t="s">
        <v>197</v>
      </c>
      <c r="X20" s="146"/>
      <c r="Y20" s="146"/>
    </row>
    <row r="21" spans="1:25" s="14" customFormat="1" ht="12.75" customHeight="1">
      <c r="A21" s="63" t="s">
        <v>18</v>
      </c>
      <c r="B21" s="38">
        <v>1</v>
      </c>
      <c r="C21" s="22"/>
      <c r="D21" s="34"/>
      <c r="E21" s="21">
        <v>1.0000000000000001E-5</v>
      </c>
      <c r="F21" s="21">
        <v>-1.0000000000000001E-5</v>
      </c>
      <c r="G21" s="21">
        <v>-3.5E-4</v>
      </c>
      <c r="H21" s="21">
        <v>0</v>
      </c>
      <c r="I21" s="21">
        <v>-2.0000000000000002E-5</v>
      </c>
      <c r="J21" s="21">
        <v>6.0000000000000002E-5</v>
      </c>
      <c r="K21" s="21">
        <v>0</v>
      </c>
      <c r="L21" s="21">
        <v>0</v>
      </c>
      <c r="M21" s="21">
        <v>-1.0000000000000001E-5</v>
      </c>
      <c r="N21" s="21">
        <v>-2.0000000000000002E-5</v>
      </c>
      <c r="O21" s="21">
        <v>-1.41E-3</v>
      </c>
      <c r="P21" s="21">
        <v>1.0000000000000001E-5</v>
      </c>
      <c r="Q21" s="21">
        <v>-8.0000000000000007E-5</v>
      </c>
      <c r="R21" s="60">
        <v>1.0000000000000001E-5</v>
      </c>
      <c r="S21" s="18"/>
      <c r="T21" s="150"/>
      <c r="U21" s="229">
        <f t="shared" si="0"/>
        <v>18</v>
      </c>
      <c r="V21" s="131" t="s">
        <v>18</v>
      </c>
      <c r="W21" s="130" t="s">
        <v>147</v>
      </c>
      <c r="X21" s="146"/>
      <c r="Y21" s="146"/>
    </row>
    <row r="22" spans="1:25" s="14" customFormat="1" ht="12.75" customHeight="1">
      <c r="A22" s="63" t="s">
        <v>19</v>
      </c>
      <c r="B22" s="38">
        <v>1</v>
      </c>
      <c r="C22" s="22"/>
      <c r="D22" s="34"/>
      <c r="E22" s="21">
        <v>2.0000000000000002E-5</v>
      </c>
      <c r="F22" s="21">
        <v>-5.0000000000000002E-5</v>
      </c>
      <c r="G22" s="21">
        <v>-1.81E-3</v>
      </c>
      <c r="H22" s="21">
        <v>-2.0000000000000002E-5</v>
      </c>
      <c r="I22" s="21">
        <v>-1.1E-4</v>
      </c>
      <c r="J22" s="21">
        <v>2.9E-4</v>
      </c>
      <c r="K22" s="21">
        <v>2.0000000000000002E-5</v>
      </c>
      <c r="L22" s="21">
        <v>2.0000000000000002E-5</v>
      </c>
      <c r="M22" s="21">
        <v>-6.0000000000000002E-5</v>
      </c>
      <c r="N22" s="21">
        <v>-1.2999999999999999E-4</v>
      </c>
      <c r="O22" s="21">
        <v>-7.1999999999999998E-3</v>
      </c>
      <c r="P22" s="21">
        <v>3.0000000000000001E-5</v>
      </c>
      <c r="Q22" s="21">
        <v>-4.0999999999999999E-4</v>
      </c>
      <c r="R22" s="60">
        <v>5.0000000000000002E-5</v>
      </c>
      <c r="S22" s="18"/>
      <c r="T22" s="150"/>
      <c r="U22" s="229">
        <f t="shared" si="0"/>
        <v>19</v>
      </c>
      <c r="V22" s="131" t="s">
        <v>19</v>
      </c>
      <c r="W22" s="130" t="s">
        <v>148</v>
      </c>
      <c r="X22" s="146"/>
      <c r="Y22" s="146"/>
    </row>
    <row r="23" spans="1:25" s="14" customFormat="1" ht="12.75" customHeight="1">
      <c r="A23" s="63" t="s">
        <v>20</v>
      </c>
      <c r="B23" s="38">
        <v>1</v>
      </c>
      <c r="C23" s="22"/>
      <c r="D23" s="34"/>
      <c r="E23" s="21">
        <v>0</v>
      </c>
      <c r="F23" s="21">
        <v>0</v>
      </c>
      <c r="G23" s="21">
        <v>-1.9000000000000001E-4</v>
      </c>
      <c r="H23" s="21">
        <v>0</v>
      </c>
      <c r="I23" s="21">
        <v>-1.0000000000000001E-5</v>
      </c>
      <c r="J23" s="21">
        <v>3.0000000000000001E-5</v>
      </c>
      <c r="K23" s="21">
        <v>0</v>
      </c>
      <c r="L23" s="21">
        <v>0</v>
      </c>
      <c r="M23" s="21">
        <v>-1.0000000000000001E-5</v>
      </c>
      <c r="N23" s="21">
        <v>-1.0000000000000001E-5</v>
      </c>
      <c r="O23" s="21">
        <v>-7.6000000000000004E-4</v>
      </c>
      <c r="P23" s="21">
        <v>0</v>
      </c>
      <c r="Q23" s="21">
        <v>-4.0000000000000003E-5</v>
      </c>
      <c r="R23" s="60">
        <v>1.0000000000000001E-5</v>
      </c>
      <c r="S23" s="18"/>
      <c r="T23" s="150"/>
      <c r="U23" s="229">
        <f t="shared" si="0"/>
        <v>20</v>
      </c>
      <c r="V23" s="131" t="s">
        <v>20</v>
      </c>
      <c r="W23" s="130" t="s">
        <v>147</v>
      </c>
      <c r="X23" s="146"/>
      <c r="Y23" s="146"/>
    </row>
    <row r="24" spans="1:25" s="14" customFormat="1" ht="12.75" customHeight="1">
      <c r="A24" s="63" t="s">
        <v>21</v>
      </c>
      <c r="B24" s="38">
        <v>1</v>
      </c>
      <c r="C24" s="22"/>
      <c r="D24" s="34"/>
      <c r="E24" s="21">
        <v>0</v>
      </c>
      <c r="F24" s="21">
        <v>-1.0000000000000001E-5</v>
      </c>
      <c r="G24" s="21">
        <v>-2.2000000000000001E-4</v>
      </c>
      <c r="H24" s="21">
        <v>0</v>
      </c>
      <c r="I24" s="21">
        <v>-1.0000000000000001E-5</v>
      </c>
      <c r="J24" s="21">
        <v>3.0000000000000001E-5</v>
      </c>
      <c r="K24" s="21">
        <v>0</v>
      </c>
      <c r="L24" s="21">
        <v>0</v>
      </c>
      <c r="M24" s="21">
        <v>-1.0000000000000001E-5</v>
      </c>
      <c r="N24" s="21">
        <v>-2.0000000000000002E-5</v>
      </c>
      <c r="O24" s="21">
        <v>3.6999999999999999E-4</v>
      </c>
      <c r="P24" s="21">
        <v>0</v>
      </c>
      <c r="Q24" s="21">
        <v>-5.0000000000000002E-5</v>
      </c>
      <c r="R24" s="60">
        <v>1.0000000000000001E-5</v>
      </c>
      <c r="S24" s="18"/>
      <c r="T24" s="150"/>
      <c r="U24" s="229">
        <f t="shared" si="0"/>
        <v>21</v>
      </c>
      <c r="V24" s="131" t="s">
        <v>21</v>
      </c>
      <c r="W24" s="130" t="s">
        <v>147</v>
      </c>
      <c r="X24" s="146"/>
      <c r="Y24" s="146"/>
    </row>
    <row r="25" spans="1:25" s="14" customFormat="1" ht="12.75" customHeight="1">
      <c r="A25" s="230" t="s">
        <v>22</v>
      </c>
      <c r="B25" s="38">
        <v>1</v>
      </c>
      <c r="C25" s="22"/>
      <c r="D25" s="34"/>
      <c r="E25" s="21">
        <v>-1.014E-2</v>
      </c>
      <c r="F25" s="21">
        <v>-3.8000000000000002E-4</v>
      </c>
      <c r="G25" s="21">
        <v>-4.45E-3</v>
      </c>
      <c r="H25" s="21">
        <v>-2.0999999999999999E-3</v>
      </c>
      <c r="I25" s="21">
        <v>-3.0799999999999998E-3</v>
      </c>
      <c r="J25" s="21">
        <v>-1.1299999999999999E-3</v>
      </c>
      <c r="K25" s="21">
        <v>-4.4000000000000002E-4</v>
      </c>
      <c r="L25" s="21">
        <v>1.8000000000000001E-4</v>
      </c>
      <c r="M25" s="21">
        <v>-5.9000000000000003E-4</v>
      </c>
      <c r="N25" s="21">
        <v>-3.4499999999999999E-3</v>
      </c>
      <c r="O25" s="21">
        <v>-3.16E-3</v>
      </c>
      <c r="P25" s="21">
        <v>-1.013E-2</v>
      </c>
      <c r="Q25" s="21">
        <v>-1.061E-2</v>
      </c>
      <c r="R25" s="60">
        <v>1.34E-3</v>
      </c>
      <c r="S25" s="18"/>
      <c r="T25" s="150">
        <v>1</v>
      </c>
      <c r="U25" s="129">
        <f t="shared" si="0"/>
        <v>22</v>
      </c>
      <c r="V25" s="128" t="s">
        <v>22</v>
      </c>
      <c r="W25" s="229"/>
      <c r="X25" s="146"/>
      <c r="Y25" s="146"/>
    </row>
    <row r="26" spans="1:25" s="14" customFormat="1" ht="12.75" customHeight="1">
      <c r="A26" s="63" t="s">
        <v>23</v>
      </c>
      <c r="B26" s="38">
        <v>1</v>
      </c>
      <c r="C26" s="22"/>
      <c r="D26" s="34"/>
      <c r="E26" s="21">
        <v>-8.0000000000000007E-5</v>
      </c>
      <c r="F26" s="21">
        <v>-6.0000000000000002E-5</v>
      </c>
      <c r="G26" s="21">
        <v>6.3000000000000003E-4</v>
      </c>
      <c r="H26" s="21">
        <v>2.0000000000000002E-5</v>
      </c>
      <c r="I26" s="21">
        <v>-1.0000000000000001E-5</v>
      </c>
      <c r="J26" s="21">
        <v>1.4999999999999999E-4</v>
      </c>
      <c r="K26" s="21">
        <v>6.0000000000000002E-5</v>
      </c>
      <c r="L26" s="21">
        <v>3.0000000000000001E-5</v>
      </c>
      <c r="M26" s="21">
        <v>2.0000000000000002E-5</v>
      </c>
      <c r="N26" s="21">
        <v>-3.79E-3</v>
      </c>
      <c r="O26" s="21">
        <v>4.8999999999999998E-4</v>
      </c>
      <c r="P26" s="21">
        <v>3.0000000000000001E-5</v>
      </c>
      <c r="Q26" s="21">
        <v>-4.0000000000000003E-5</v>
      </c>
      <c r="R26" s="60">
        <v>-9.3000000000000005E-4</v>
      </c>
      <c r="S26" s="18"/>
      <c r="T26" s="150"/>
      <c r="U26" s="229">
        <f t="shared" si="0"/>
        <v>23</v>
      </c>
      <c r="V26" s="131" t="s">
        <v>23</v>
      </c>
      <c r="W26" s="130" t="s">
        <v>149</v>
      </c>
      <c r="X26" s="146"/>
      <c r="Y26" s="146"/>
    </row>
    <row r="27" spans="1:25" s="14" customFormat="1" ht="12.75" customHeight="1" thickBot="1">
      <c r="A27" s="63" t="s">
        <v>24</v>
      </c>
      <c r="B27" s="38">
        <v>1</v>
      </c>
      <c r="C27" s="22"/>
      <c r="D27" s="34"/>
      <c r="E27" s="21">
        <v>-2.0000000000000002E-5</v>
      </c>
      <c r="F27" s="21">
        <v>3.0000000000000001E-5</v>
      </c>
      <c r="G27" s="21">
        <v>1.09E-3</v>
      </c>
      <c r="H27" s="21">
        <v>1.0000000000000001E-5</v>
      </c>
      <c r="I27" s="21">
        <v>6.9999999999999994E-5</v>
      </c>
      <c r="J27" s="21">
        <v>-1.7000000000000001E-4</v>
      </c>
      <c r="K27" s="21">
        <v>-1.0000000000000001E-5</v>
      </c>
      <c r="L27" s="21">
        <v>-1.0000000000000001E-5</v>
      </c>
      <c r="M27" s="21">
        <v>4.0000000000000003E-5</v>
      </c>
      <c r="N27" s="21">
        <v>-6.0000000000000002E-5</v>
      </c>
      <c r="O27" s="21">
        <v>-1.8500000000000001E-3</v>
      </c>
      <c r="P27" s="21">
        <v>-2.0000000000000002E-5</v>
      </c>
      <c r="Q27" s="21">
        <v>2.4000000000000001E-4</v>
      </c>
      <c r="R27" s="60">
        <v>-6.0000000000000002E-5</v>
      </c>
      <c r="S27" s="18"/>
      <c r="T27" s="150"/>
      <c r="U27" s="229">
        <f t="shared" si="0"/>
        <v>24</v>
      </c>
      <c r="V27" s="131" t="s">
        <v>24</v>
      </c>
      <c r="W27" s="130" t="s">
        <v>149</v>
      </c>
      <c r="X27" s="146"/>
      <c r="Y27" s="146"/>
    </row>
    <row r="28" spans="1:25" s="14" customFormat="1" ht="12.75" customHeight="1">
      <c r="A28" s="64" t="s">
        <v>61</v>
      </c>
      <c r="B28" s="51">
        <v>1</v>
      </c>
      <c r="C28" s="44"/>
      <c r="D28" s="52"/>
      <c r="E28" s="66">
        <v>4.1099999999999999E-3</v>
      </c>
      <c r="F28" s="66">
        <v>6.3600000000000002E-3</v>
      </c>
      <c r="G28" s="66">
        <v>-4.8000000000000001E-4</v>
      </c>
      <c r="H28" s="66">
        <v>2.47E-3</v>
      </c>
      <c r="I28" s="66">
        <v>3.2599999999999999E-3</v>
      </c>
      <c r="J28" s="66">
        <v>-7.6699999999999997E-3</v>
      </c>
      <c r="K28" s="66">
        <v>3.0599999999999998E-3</v>
      </c>
      <c r="L28" s="66">
        <v>-3.0200000000000001E-3</v>
      </c>
      <c r="M28" s="66">
        <v>4.28E-3</v>
      </c>
      <c r="N28" s="66">
        <v>-7.9000000000000001E-4</v>
      </c>
      <c r="O28" s="66">
        <v>-2.1000000000000001E-4</v>
      </c>
      <c r="P28" s="66">
        <v>-3.0699999999999998E-3</v>
      </c>
      <c r="Q28" s="66">
        <v>-3.7299999999999998E-3</v>
      </c>
      <c r="R28" s="67">
        <v>7.43E-3</v>
      </c>
      <c r="S28" s="18"/>
      <c r="T28" s="150"/>
      <c r="U28" s="229">
        <f t="shared" si="0"/>
        <v>25</v>
      </c>
      <c r="V28" s="131" t="s">
        <v>61</v>
      </c>
      <c r="W28" s="130" t="s">
        <v>158</v>
      </c>
      <c r="X28" s="146"/>
      <c r="Y28" s="146"/>
    </row>
    <row r="29" spans="1:25" s="14" customFormat="1" ht="12.75" customHeight="1">
      <c r="A29" s="63" t="s">
        <v>62</v>
      </c>
      <c r="B29" s="38">
        <v>1</v>
      </c>
      <c r="C29" s="22"/>
      <c r="D29" s="34"/>
      <c r="E29" s="21">
        <v>4.5300000000000002E-3</v>
      </c>
      <c r="F29" s="21">
        <v>7.0000000000000001E-3</v>
      </c>
      <c r="G29" s="21">
        <v>-5.2999999999999998E-4</v>
      </c>
      <c r="H29" s="21">
        <v>1.7700000000000001E-3</v>
      </c>
      <c r="I29" s="21">
        <v>3.5899999999999999E-3</v>
      </c>
      <c r="J29" s="21">
        <v>-8.6E-3</v>
      </c>
      <c r="K29" s="21">
        <v>3.2299999999999998E-3</v>
      </c>
      <c r="L29" s="21">
        <v>-3.32E-3</v>
      </c>
      <c r="M29" s="21">
        <v>4.64E-3</v>
      </c>
      <c r="N29" s="21">
        <v>-8.7000000000000001E-4</v>
      </c>
      <c r="O29" s="21">
        <v>-2.3000000000000001E-4</v>
      </c>
      <c r="P29" s="21">
        <v>-3.4399999999999999E-3</v>
      </c>
      <c r="Q29" s="21">
        <v>-4.1000000000000003E-3</v>
      </c>
      <c r="R29" s="60">
        <v>8.2100000000000003E-3</v>
      </c>
      <c r="S29" s="18"/>
      <c r="T29" s="150"/>
      <c r="U29" s="229">
        <f t="shared" si="0"/>
        <v>26</v>
      </c>
      <c r="V29" s="131" t="s">
        <v>62</v>
      </c>
      <c r="W29" s="130" t="s">
        <v>159</v>
      </c>
      <c r="X29" s="146"/>
      <c r="Y29" s="146"/>
    </row>
    <row r="30" spans="1:25" s="14" customFormat="1" ht="12.75" customHeight="1">
      <c r="A30" s="63" t="s">
        <v>63</v>
      </c>
      <c r="B30" s="38">
        <v>1</v>
      </c>
      <c r="C30" s="22"/>
      <c r="D30" s="34"/>
      <c r="E30" s="21">
        <v>5.4000000000000003E-3</v>
      </c>
      <c r="F30" s="21">
        <v>8.4600000000000005E-3</v>
      </c>
      <c r="G30" s="21">
        <v>-6.4999999999999997E-4</v>
      </c>
      <c r="H30" s="21">
        <v>2.6199999999999999E-3</v>
      </c>
      <c r="I30" s="21">
        <v>4.3400000000000001E-3</v>
      </c>
      <c r="J30" s="21">
        <v>-1.0189999999999999E-2</v>
      </c>
      <c r="K30" s="21">
        <v>4.0499999999999998E-3</v>
      </c>
      <c r="L30" s="21">
        <v>-4.0000000000000001E-3</v>
      </c>
      <c r="M30" s="21">
        <v>5.6899999999999997E-3</v>
      </c>
      <c r="N30" s="21">
        <v>-1.08E-3</v>
      </c>
      <c r="O30" s="21">
        <v>-2.9E-4</v>
      </c>
      <c r="P30" s="21">
        <v>-4.1200000000000004E-3</v>
      </c>
      <c r="Q30" s="21">
        <v>-4.9800000000000001E-3</v>
      </c>
      <c r="R30" s="60">
        <v>9.92E-3</v>
      </c>
      <c r="S30" s="18"/>
      <c r="T30" s="150"/>
      <c r="U30" s="229">
        <f t="shared" si="0"/>
        <v>27</v>
      </c>
      <c r="V30" s="131" t="s">
        <v>63</v>
      </c>
      <c r="W30" s="130" t="s">
        <v>160</v>
      </c>
      <c r="X30" s="146"/>
      <c r="Y30" s="146"/>
    </row>
    <row r="31" spans="1:25" s="14" customFormat="1" ht="12.75" customHeight="1">
      <c r="A31" s="63" t="s">
        <v>64</v>
      </c>
      <c r="B31" s="38">
        <v>1</v>
      </c>
      <c r="C31" s="22"/>
      <c r="D31" s="34"/>
      <c r="E31" s="21">
        <v>5.8900000000000003E-3</v>
      </c>
      <c r="F31" s="21">
        <v>9.1599999999999997E-3</v>
      </c>
      <c r="G31" s="21">
        <v>-6.9999999999999999E-4</v>
      </c>
      <c r="H31" s="21">
        <v>1.97E-3</v>
      </c>
      <c r="I31" s="21">
        <v>4.7000000000000002E-3</v>
      </c>
      <c r="J31" s="21">
        <v>-1.1220000000000001E-2</v>
      </c>
      <c r="K31" s="21">
        <v>4.2100000000000002E-3</v>
      </c>
      <c r="L31" s="21">
        <v>-4.3400000000000001E-3</v>
      </c>
      <c r="M31" s="21">
        <v>6.0600000000000003E-3</v>
      </c>
      <c r="N31" s="21">
        <v>-1.17E-3</v>
      </c>
      <c r="O31" s="21">
        <v>-3.1E-4</v>
      </c>
      <c r="P31" s="21">
        <v>-4.5100000000000001E-3</v>
      </c>
      <c r="Q31" s="21">
        <v>-5.3899999999999998E-3</v>
      </c>
      <c r="R31" s="60">
        <v>1.0789999999999999E-2</v>
      </c>
      <c r="S31" s="18"/>
      <c r="T31" s="150"/>
      <c r="U31" s="229">
        <f t="shared" si="0"/>
        <v>28</v>
      </c>
      <c r="V31" s="131" t="s">
        <v>64</v>
      </c>
      <c r="W31" s="130" t="s">
        <v>161</v>
      </c>
      <c r="X31" s="146"/>
      <c r="Y31" s="146"/>
    </row>
    <row r="32" spans="1:25" s="14" customFormat="1" ht="12.75" customHeight="1">
      <c r="A32" s="230" t="s">
        <v>65</v>
      </c>
      <c r="B32" s="38">
        <v>1</v>
      </c>
      <c r="C32" s="22"/>
      <c r="D32" s="34"/>
      <c r="E32" s="21">
        <v>1.208E-2</v>
      </c>
      <c r="F32" s="21">
        <v>5.4400000000000004E-3</v>
      </c>
      <c r="G32" s="21">
        <v>3.5000000000000001E-3</v>
      </c>
      <c r="H32" s="21">
        <v>7.2000000000000005E-4</v>
      </c>
      <c r="I32" s="21">
        <v>2.8900000000000002E-3</v>
      </c>
      <c r="J32" s="21">
        <v>-1.7809999999999999E-2</v>
      </c>
      <c r="K32" s="21">
        <v>-5.7200000000000003E-3</v>
      </c>
      <c r="L32" s="21">
        <v>-2.5799999999999998E-3</v>
      </c>
      <c r="M32" s="21">
        <v>-6.9999999999999999E-4</v>
      </c>
      <c r="N32" s="21">
        <v>2.3500000000000001E-3</v>
      </c>
      <c r="O32" s="21">
        <v>2.6199999999999999E-3</v>
      </c>
      <c r="P32" s="21">
        <v>-2.7799999999999999E-3</v>
      </c>
      <c r="Q32" s="21">
        <v>6.4099999999999999E-3</v>
      </c>
      <c r="R32" s="60">
        <v>4.7499999999999999E-3</v>
      </c>
      <c r="S32" s="18"/>
      <c r="T32" s="150">
        <v>1</v>
      </c>
      <c r="U32" s="129">
        <f t="shared" si="0"/>
        <v>29</v>
      </c>
      <c r="V32" s="128" t="s">
        <v>65</v>
      </c>
      <c r="W32" s="229"/>
      <c r="X32" s="146"/>
      <c r="Y32" s="146"/>
    </row>
    <row r="33" spans="1:25" s="14" customFormat="1" ht="12.75" customHeight="1">
      <c r="A33" s="63" t="s">
        <v>66</v>
      </c>
      <c r="B33" s="38">
        <v>1</v>
      </c>
      <c r="C33" s="22"/>
      <c r="D33" s="34"/>
      <c r="E33" s="21">
        <v>6.3699999999999998E-3</v>
      </c>
      <c r="F33" s="21">
        <v>4.0699999999999998E-3</v>
      </c>
      <c r="G33" s="21">
        <v>1.3699999999999999E-3</v>
      </c>
      <c r="H33" s="21">
        <v>1.2600000000000001E-3</v>
      </c>
      <c r="I33" s="21">
        <v>1.42E-3</v>
      </c>
      <c r="J33" s="21">
        <v>-1.09E-2</v>
      </c>
      <c r="K33" s="21">
        <v>-3.9100000000000003E-3</v>
      </c>
      <c r="L33" s="21">
        <v>-1.9300000000000001E-3</v>
      </c>
      <c r="M33" s="21">
        <v>-9.2000000000000003E-4</v>
      </c>
      <c r="N33" s="21">
        <v>2.5200000000000001E-3</v>
      </c>
      <c r="O33" s="21">
        <v>8.8999999999999995E-4</v>
      </c>
      <c r="P33" s="21">
        <v>-2.0699999999999998E-3</v>
      </c>
      <c r="Q33" s="21">
        <v>-1.3500000000000001E-3</v>
      </c>
      <c r="R33" s="60">
        <v>8.8000000000000003E-4</v>
      </c>
      <c r="S33" s="18"/>
      <c r="T33" s="150"/>
      <c r="U33" s="229">
        <f t="shared" si="0"/>
        <v>30</v>
      </c>
      <c r="V33" s="131" t="s">
        <v>66</v>
      </c>
      <c r="W33" s="130" t="s">
        <v>162</v>
      </c>
      <c r="X33" s="146"/>
      <c r="Y33" s="146"/>
    </row>
    <row r="34" spans="1:25" s="14" customFormat="1" ht="12.75" customHeight="1">
      <c r="A34" s="63" t="s">
        <v>67</v>
      </c>
      <c r="B34" s="38">
        <v>1</v>
      </c>
      <c r="C34" s="22"/>
      <c r="D34" s="34"/>
      <c r="E34" s="21">
        <v>6.13E-3</v>
      </c>
      <c r="F34" s="21">
        <v>3.6099999999999999E-3</v>
      </c>
      <c r="G34" s="21">
        <v>-7.1000000000000002E-4</v>
      </c>
      <c r="H34" s="21">
        <v>1.2999999999999999E-3</v>
      </c>
      <c r="I34" s="21">
        <v>1.31E-3</v>
      </c>
      <c r="J34" s="21">
        <v>-1.023E-2</v>
      </c>
      <c r="K34" s="21">
        <v>-3.79E-3</v>
      </c>
      <c r="L34" s="21">
        <v>-1.72E-3</v>
      </c>
      <c r="M34" s="21">
        <v>-9.5E-4</v>
      </c>
      <c r="N34" s="21">
        <v>3.0500000000000002E-3</v>
      </c>
      <c r="O34" s="21">
        <v>-7.2000000000000005E-4</v>
      </c>
      <c r="P34" s="21">
        <v>-1.8600000000000001E-3</v>
      </c>
      <c r="Q34" s="21">
        <v>-2.0699999999999998E-3</v>
      </c>
      <c r="R34" s="60">
        <v>3.1700000000000001E-3</v>
      </c>
      <c r="S34" s="18"/>
      <c r="T34" s="150"/>
      <c r="U34" s="229">
        <f t="shared" si="0"/>
        <v>31</v>
      </c>
      <c r="V34" s="131" t="s">
        <v>67</v>
      </c>
      <c r="W34" s="130" t="s">
        <v>164</v>
      </c>
      <c r="X34" s="146"/>
      <c r="Y34" s="146"/>
    </row>
    <row r="35" spans="1:25" s="14" customFormat="1" ht="12.75" customHeight="1">
      <c r="A35" s="63" t="s">
        <v>68</v>
      </c>
      <c r="B35" s="38">
        <v>1</v>
      </c>
      <c r="C35" s="22"/>
      <c r="D35" s="34"/>
      <c r="E35" s="21">
        <v>6.0600000000000003E-3</v>
      </c>
      <c r="F35" s="21">
        <v>3.5300000000000002E-3</v>
      </c>
      <c r="G35" s="21">
        <v>-1.3999999999999999E-4</v>
      </c>
      <c r="H35" s="21">
        <v>1.32E-3</v>
      </c>
      <c r="I35" s="21">
        <v>1.2999999999999999E-3</v>
      </c>
      <c r="J35" s="21">
        <v>-1.008E-2</v>
      </c>
      <c r="K35" s="21">
        <v>-3.7299999999999998E-3</v>
      </c>
      <c r="L35" s="21">
        <v>-1.6800000000000001E-3</v>
      </c>
      <c r="M35" s="21">
        <v>-9.3000000000000005E-4</v>
      </c>
      <c r="N35" s="21">
        <v>-4.4000000000000002E-4</v>
      </c>
      <c r="O35" s="21">
        <v>-2.7999999999999998E-4</v>
      </c>
      <c r="P35" s="21">
        <v>-1.82E-3</v>
      </c>
      <c r="Q35" s="21">
        <v>-2.1099999999999999E-3</v>
      </c>
      <c r="R35" s="60">
        <v>4.0600000000000002E-3</v>
      </c>
      <c r="S35" s="18"/>
      <c r="T35" s="150"/>
      <c r="U35" s="229">
        <f t="shared" si="0"/>
        <v>32</v>
      </c>
      <c r="V35" s="131" t="s">
        <v>68</v>
      </c>
      <c r="W35" s="130" t="s">
        <v>163</v>
      </c>
      <c r="X35" s="146"/>
      <c r="Y35" s="146"/>
    </row>
    <row r="36" spans="1:25" s="14" customFormat="1" ht="12.75" customHeight="1">
      <c r="A36" s="230" t="s">
        <v>69</v>
      </c>
      <c r="B36" s="38">
        <v>1</v>
      </c>
      <c r="C36" s="22"/>
      <c r="D36" s="34"/>
      <c r="E36" s="21">
        <v>4.1399999999999996E-3</v>
      </c>
      <c r="F36" s="21">
        <v>4.3699999999999998E-3</v>
      </c>
      <c r="G36" s="21">
        <v>2.7999999999999998E-4</v>
      </c>
      <c r="H36" s="21">
        <v>-5.5999999999999995E-4</v>
      </c>
      <c r="I36" s="21">
        <v>1.5200000000000001E-3</v>
      </c>
      <c r="J36" s="21">
        <v>6.8900000000000003E-3</v>
      </c>
      <c r="K36" s="21">
        <v>4.7400000000000003E-3</v>
      </c>
      <c r="L36" s="21">
        <v>-2.0799999999999998E-3</v>
      </c>
      <c r="M36" s="21">
        <v>2.0699999999999998E-3</v>
      </c>
      <c r="N36" s="21">
        <v>-9.0000000000000006E-5</v>
      </c>
      <c r="O36" s="21">
        <v>2.9E-4</v>
      </c>
      <c r="P36" s="21">
        <v>-1.0399999999999999E-3</v>
      </c>
      <c r="Q36" s="21">
        <v>-1.08E-3</v>
      </c>
      <c r="R36" s="60">
        <v>4.9100000000000003E-3</v>
      </c>
      <c r="S36" s="18"/>
      <c r="T36" s="150">
        <v>1</v>
      </c>
      <c r="U36" s="129">
        <f t="shared" si="0"/>
        <v>33</v>
      </c>
      <c r="V36" s="128" t="s">
        <v>69</v>
      </c>
      <c r="W36" s="229"/>
      <c r="X36" s="146"/>
      <c r="Y36" s="146"/>
    </row>
    <row r="37" spans="1:25" s="14" customFormat="1" ht="12.75" customHeight="1">
      <c r="A37" s="63" t="s">
        <v>70</v>
      </c>
      <c r="B37" s="38">
        <v>1</v>
      </c>
      <c r="C37" s="22"/>
      <c r="D37" s="34"/>
      <c r="E37" s="21">
        <v>1.2919999999999999E-2</v>
      </c>
      <c r="F37" s="21">
        <v>5.0200000000000002E-3</v>
      </c>
      <c r="G37" s="21">
        <v>3.96E-3</v>
      </c>
      <c r="H37" s="21">
        <v>1.1299999999999999E-3</v>
      </c>
      <c r="I37" s="21">
        <v>-1.8699999999999999E-3</v>
      </c>
      <c r="J37" s="21">
        <v>9.0100000000000006E-3</v>
      </c>
      <c r="K37" s="21">
        <v>2.5400000000000002E-3</v>
      </c>
      <c r="L37" s="21">
        <v>-2.3800000000000002E-3</v>
      </c>
      <c r="M37" s="21">
        <v>-1.0200000000000001E-3</v>
      </c>
      <c r="N37" s="21">
        <v>2.7699999999999999E-3</v>
      </c>
      <c r="O37" s="21">
        <v>2.9399999999999999E-3</v>
      </c>
      <c r="P37" s="21">
        <v>7.5700000000000003E-3</v>
      </c>
      <c r="Q37" s="21">
        <v>7.6600000000000001E-3</v>
      </c>
      <c r="R37" s="60">
        <v>4.1900000000000001E-3</v>
      </c>
      <c r="S37" s="18"/>
      <c r="T37" s="150"/>
      <c r="U37" s="229">
        <f t="shared" si="0"/>
        <v>34</v>
      </c>
      <c r="V37" s="131" t="s">
        <v>70</v>
      </c>
      <c r="W37" s="130" t="s">
        <v>156</v>
      </c>
      <c r="X37" s="146"/>
      <c r="Y37" s="146"/>
    </row>
    <row r="38" spans="1:25" s="14" customFormat="1" ht="12.75" customHeight="1">
      <c r="A38" s="230" t="s">
        <v>71</v>
      </c>
      <c r="B38" s="38">
        <v>1</v>
      </c>
      <c r="C38" s="22"/>
      <c r="D38" s="34"/>
      <c r="E38" s="21">
        <v>1.355E-2</v>
      </c>
      <c r="F38" s="21">
        <v>6.2500000000000003E-3</v>
      </c>
      <c r="G38" s="21">
        <v>3.8400000000000001E-3</v>
      </c>
      <c r="H38" s="21">
        <v>8.0999999999999996E-4</v>
      </c>
      <c r="I38" s="21">
        <v>2.6800000000000001E-3</v>
      </c>
      <c r="J38" s="21">
        <v>-5.3E-3</v>
      </c>
      <c r="K38" s="21">
        <v>-1.31E-3</v>
      </c>
      <c r="L38" s="21">
        <v>-2.96E-3</v>
      </c>
      <c r="M38" s="21">
        <v>-1.3999999999999999E-4</v>
      </c>
      <c r="N38" s="21">
        <v>2.5699999999999998E-3</v>
      </c>
      <c r="O38" s="21">
        <v>2.8800000000000002E-3</v>
      </c>
      <c r="P38" s="21">
        <v>-1.8600000000000001E-3</v>
      </c>
      <c r="Q38" s="21">
        <v>6.8999999999999999E-3</v>
      </c>
      <c r="R38" s="60">
        <v>5.5599999999999998E-3</v>
      </c>
      <c r="S38" s="18"/>
      <c r="T38" s="150">
        <v>1</v>
      </c>
      <c r="U38" s="129">
        <f t="shared" si="0"/>
        <v>35</v>
      </c>
      <c r="V38" s="128" t="s">
        <v>71</v>
      </c>
      <c r="W38" s="229"/>
      <c r="X38" s="146"/>
      <c r="Y38" s="146"/>
    </row>
    <row r="39" spans="1:25" s="14" customFormat="1" ht="12.75" customHeight="1">
      <c r="A39" s="230" t="s">
        <v>72</v>
      </c>
      <c r="B39" s="38">
        <v>1</v>
      </c>
      <c r="C39" s="22"/>
      <c r="D39" s="34"/>
      <c r="E39" s="21">
        <v>1.6310000000000002E-2</v>
      </c>
      <c r="F39" s="21">
        <v>9.9399999999999992E-3</v>
      </c>
      <c r="G39" s="21">
        <v>3.79E-3</v>
      </c>
      <c r="H39" s="21">
        <v>1.4999999999999999E-4</v>
      </c>
      <c r="I39" s="21">
        <v>3.6900000000000001E-3</v>
      </c>
      <c r="J39" s="21">
        <v>-1.2E-2</v>
      </c>
      <c r="K39" s="21">
        <v>-3.13E-3</v>
      </c>
      <c r="L39" s="21">
        <v>-4.7000000000000002E-3</v>
      </c>
      <c r="M39" s="21">
        <v>-3.1E-4</v>
      </c>
      <c r="N39" s="21">
        <v>2.2499999999999998E-3</v>
      </c>
      <c r="O39" s="21">
        <v>2.9199999999999999E-3</v>
      </c>
      <c r="P39" s="21">
        <v>-3.8700000000000002E-3</v>
      </c>
      <c r="Q39" s="21">
        <v>5.3200000000000001E-3</v>
      </c>
      <c r="R39" s="60">
        <v>9.75E-3</v>
      </c>
      <c r="S39" s="18"/>
      <c r="T39" s="150">
        <v>1</v>
      </c>
      <c r="U39" s="129">
        <f t="shared" si="0"/>
        <v>36</v>
      </c>
      <c r="V39" s="128" t="s">
        <v>72</v>
      </c>
      <c r="W39" s="229"/>
      <c r="X39" s="146"/>
      <c r="Y39" s="146"/>
    </row>
    <row r="40" spans="1:25" s="14" customFormat="1" ht="12.75" customHeight="1">
      <c r="A40" s="63" t="s">
        <v>73</v>
      </c>
      <c r="B40" s="38">
        <v>1</v>
      </c>
      <c r="C40" s="22"/>
      <c r="D40" s="34"/>
      <c r="E40" s="21">
        <v>1.1140000000000001E-2</v>
      </c>
      <c r="F40" s="21">
        <v>7.5799999999999999E-3</v>
      </c>
      <c r="G40" s="21">
        <v>1.8400000000000001E-3</v>
      </c>
      <c r="H40" s="21">
        <v>7.7999999999999999E-4</v>
      </c>
      <c r="I40" s="21">
        <v>2.3E-3</v>
      </c>
      <c r="J40" s="21">
        <v>-4.6600000000000001E-3</v>
      </c>
      <c r="K40" s="21">
        <v>-1.1999999999999999E-3</v>
      </c>
      <c r="L40" s="21">
        <v>-3.5999999999999999E-3</v>
      </c>
      <c r="M40" s="21">
        <v>-4.2000000000000002E-4</v>
      </c>
      <c r="N40" s="21">
        <v>2.5899999999999999E-3</v>
      </c>
      <c r="O40" s="21">
        <v>1.33E-3</v>
      </c>
      <c r="P40" s="21">
        <v>-2.7000000000000001E-3</v>
      </c>
      <c r="Q40" s="21">
        <v>-2.0500000000000002E-3</v>
      </c>
      <c r="R40" s="60">
        <v>5.9300000000000004E-3</v>
      </c>
      <c r="S40" s="18"/>
      <c r="T40" s="150"/>
      <c r="U40" s="229">
        <f t="shared" si="0"/>
        <v>37</v>
      </c>
      <c r="V40" s="131" t="s">
        <v>73</v>
      </c>
      <c r="W40" s="130" t="s">
        <v>168</v>
      </c>
      <c r="X40" s="146"/>
      <c r="Y40" s="146"/>
    </row>
    <row r="41" spans="1:25" s="14" customFormat="1" ht="12.75" customHeight="1">
      <c r="A41" s="63" t="s">
        <v>74</v>
      </c>
      <c r="B41" s="38">
        <v>1</v>
      </c>
      <c r="C41" s="22"/>
      <c r="D41" s="34"/>
      <c r="E41" s="21">
        <v>1.0959999999999999E-2</v>
      </c>
      <c r="F41" s="21">
        <v>7.1900000000000002E-3</v>
      </c>
      <c r="G41" s="21">
        <v>-4.2000000000000002E-4</v>
      </c>
      <c r="H41" s="21">
        <v>8.0000000000000004E-4</v>
      </c>
      <c r="I41" s="21">
        <v>2.2100000000000002E-3</v>
      </c>
      <c r="J41" s="21">
        <v>-4.1099999999999999E-3</v>
      </c>
      <c r="K41" s="21">
        <v>-1.1100000000000001E-3</v>
      </c>
      <c r="L41" s="21">
        <v>-3.4099999999999998E-3</v>
      </c>
      <c r="M41" s="21">
        <v>-4.4999999999999999E-4</v>
      </c>
      <c r="N41" s="21">
        <v>3.15E-3</v>
      </c>
      <c r="O41" s="21">
        <v>-4.2999999999999999E-4</v>
      </c>
      <c r="P41" s="21">
        <v>-2.5100000000000001E-3</v>
      </c>
      <c r="Q41" s="21">
        <v>-2.7100000000000002E-3</v>
      </c>
      <c r="R41" s="60">
        <v>8.5299999999999994E-3</v>
      </c>
      <c r="S41" s="18"/>
      <c r="T41" s="150"/>
      <c r="U41" s="229">
        <f t="shared" si="0"/>
        <v>38</v>
      </c>
      <c r="V41" s="131" t="s">
        <v>74</v>
      </c>
      <c r="W41" s="130" t="s">
        <v>169</v>
      </c>
      <c r="X41" s="146"/>
      <c r="Y41" s="146"/>
    </row>
    <row r="42" spans="1:25" s="14" customFormat="1" ht="12.75" customHeight="1">
      <c r="A42" s="63" t="s">
        <v>75</v>
      </c>
      <c r="B42" s="38">
        <v>1</v>
      </c>
      <c r="C42" s="22"/>
      <c r="D42" s="34"/>
      <c r="E42" s="21">
        <v>1.0880000000000001E-2</v>
      </c>
      <c r="F42" s="21">
        <v>7.1199999999999996E-3</v>
      </c>
      <c r="G42" s="21">
        <v>1.8000000000000001E-4</v>
      </c>
      <c r="H42" s="21">
        <v>8.3000000000000001E-4</v>
      </c>
      <c r="I42" s="21">
        <v>2.1900000000000001E-3</v>
      </c>
      <c r="J42" s="21">
        <v>-3.96E-3</v>
      </c>
      <c r="K42" s="21">
        <v>-1.0499999999999999E-3</v>
      </c>
      <c r="L42" s="21">
        <v>-3.3800000000000002E-3</v>
      </c>
      <c r="M42" s="21">
        <v>-4.2999999999999999E-4</v>
      </c>
      <c r="N42" s="21">
        <v>-4.4000000000000002E-4</v>
      </c>
      <c r="O42" s="21">
        <v>3.0000000000000001E-5</v>
      </c>
      <c r="P42" s="21">
        <v>-2.48E-3</v>
      </c>
      <c r="Q42" s="21">
        <v>-2.7499999999999998E-3</v>
      </c>
      <c r="R42" s="60">
        <v>8.0700000000000008E-3</v>
      </c>
      <c r="S42" s="18"/>
      <c r="T42" s="150"/>
      <c r="U42" s="229">
        <f t="shared" si="0"/>
        <v>39</v>
      </c>
      <c r="V42" s="131" t="s">
        <v>75</v>
      </c>
      <c r="W42" s="130" t="s">
        <v>170</v>
      </c>
      <c r="X42" s="146"/>
      <c r="Y42" s="146"/>
    </row>
    <row r="43" spans="1:25" s="14" customFormat="1" ht="12.75" customHeight="1">
      <c r="A43" s="63" t="s">
        <v>76</v>
      </c>
      <c r="B43" s="38">
        <v>1</v>
      </c>
      <c r="C43" s="22"/>
      <c r="D43" s="34"/>
      <c r="E43" s="21">
        <v>1.4619999999999999E-2</v>
      </c>
      <c r="F43" s="21">
        <v>7.4099999999999999E-3</v>
      </c>
      <c r="G43" s="21">
        <v>4.0899999999999999E-3</v>
      </c>
      <c r="H43" s="21">
        <v>8.1999999999999998E-4</v>
      </c>
      <c r="I43" s="21">
        <v>-4.1200000000000004E-3</v>
      </c>
      <c r="J43" s="21">
        <v>1.3140000000000001E-2</v>
      </c>
      <c r="K43" s="21">
        <v>3.64E-3</v>
      </c>
      <c r="L43" s="21">
        <v>-3.5100000000000001E-3</v>
      </c>
      <c r="M43" s="21">
        <v>-1.82E-3</v>
      </c>
      <c r="N43" s="21">
        <v>2.7000000000000001E-3</v>
      </c>
      <c r="O43" s="21">
        <v>3.0899999999999999E-3</v>
      </c>
      <c r="P43" s="21">
        <v>7.11E-3</v>
      </c>
      <c r="Q43" s="21">
        <v>7.0400000000000003E-3</v>
      </c>
      <c r="R43" s="60">
        <v>6.8700000000000002E-3</v>
      </c>
      <c r="S43" s="18"/>
      <c r="T43" s="150"/>
      <c r="U43" s="229">
        <f t="shared" si="0"/>
        <v>40</v>
      </c>
      <c r="V43" s="131" t="s">
        <v>76</v>
      </c>
      <c r="W43" s="130" t="s">
        <v>167</v>
      </c>
      <c r="X43" s="146"/>
      <c r="Y43" s="146"/>
    </row>
    <row r="44" spans="1:25" s="14" customFormat="1" ht="12.75" customHeight="1">
      <c r="A44" s="230" t="s">
        <v>77</v>
      </c>
      <c r="B44" s="38">
        <v>1</v>
      </c>
      <c r="C44" s="22"/>
      <c r="D44" s="34"/>
      <c r="E44" s="21">
        <v>1.554E-2</v>
      </c>
      <c r="F44" s="21">
        <v>8.7100000000000007E-3</v>
      </c>
      <c r="G44" s="21">
        <v>3.8999999999999998E-3</v>
      </c>
      <c r="H44" s="21">
        <v>4.4000000000000002E-4</v>
      </c>
      <c r="I44" s="21">
        <v>7.2000000000000005E-4</v>
      </c>
      <c r="J44" s="21">
        <v>-2.14E-3</v>
      </c>
      <c r="K44" s="21">
        <v>-4.6000000000000001E-4</v>
      </c>
      <c r="L44" s="21">
        <v>-4.13E-3</v>
      </c>
      <c r="M44" s="21">
        <v>-7.7999999999999999E-4</v>
      </c>
      <c r="N44" s="21">
        <v>2.4399999999999999E-3</v>
      </c>
      <c r="O44" s="21">
        <v>2.97E-3</v>
      </c>
      <c r="P44" s="21">
        <v>-3.0400000000000002E-3</v>
      </c>
      <c r="Q44" s="21">
        <v>6.0600000000000003E-3</v>
      </c>
      <c r="R44" s="60">
        <v>8.3599999999999994E-3</v>
      </c>
      <c r="S44" s="18"/>
      <c r="T44" s="150">
        <v>1</v>
      </c>
      <c r="U44" s="129">
        <f t="shared" si="0"/>
        <v>41</v>
      </c>
      <c r="V44" s="128" t="s">
        <v>77</v>
      </c>
      <c r="W44" s="229"/>
      <c r="X44" s="146"/>
      <c r="Y44" s="146"/>
    </row>
    <row r="45" spans="1:25" s="14" customFormat="1" ht="12.75" customHeight="1">
      <c r="A45" s="63" t="s">
        <v>78</v>
      </c>
      <c r="B45" s="38">
        <v>1</v>
      </c>
      <c r="C45" s="22"/>
      <c r="D45" s="34"/>
      <c r="E45" s="21">
        <v>1.874E-2</v>
      </c>
      <c r="F45" s="21">
        <v>1.2999999999999999E-2</v>
      </c>
      <c r="G45" s="21">
        <v>3.8400000000000001E-3</v>
      </c>
      <c r="H45" s="21">
        <v>-3.2000000000000003E-4</v>
      </c>
      <c r="I45" s="21">
        <v>1.8500000000000001E-3</v>
      </c>
      <c r="J45" s="21">
        <v>-9.8399999999999998E-3</v>
      </c>
      <c r="K45" s="21">
        <v>-2.5400000000000002E-3</v>
      </c>
      <c r="L45" s="21">
        <v>-6.1399999999999996E-3</v>
      </c>
      <c r="M45" s="21">
        <v>-9.7999999999999997E-4</v>
      </c>
      <c r="N45" s="21">
        <v>2.0600000000000002E-3</v>
      </c>
      <c r="O45" s="21">
        <v>3.0200000000000001E-3</v>
      </c>
      <c r="P45" s="21">
        <v>-5.3200000000000001E-3</v>
      </c>
      <c r="Q45" s="21">
        <v>4.2300000000000003E-3</v>
      </c>
      <c r="R45" s="60">
        <v>1.3220000000000001E-2</v>
      </c>
      <c r="S45" s="18"/>
      <c r="T45" s="150"/>
      <c r="U45" s="229">
        <f t="shared" si="0"/>
        <v>42</v>
      </c>
      <c r="V45" s="131" t="s">
        <v>78</v>
      </c>
      <c r="W45" s="130" t="s">
        <v>171</v>
      </c>
      <c r="X45" s="146"/>
      <c r="Y45" s="146"/>
    </row>
    <row r="46" spans="1:25" s="14" customFormat="1" ht="12.75" customHeight="1">
      <c r="A46" s="63" t="s">
        <v>79</v>
      </c>
      <c r="B46" s="38">
        <v>1</v>
      </c>
      <c r="C46" s="22"/>
      <c r="D46" s="34"/>
      <c r="E46" s="21">
        <v>1.3979999999999999E-2</v>
      </c>
      <c r="F46" s="21">
        <v>9.3200000000000002E-3</v>
      </c>
      <c r="G46" s="21">
        <v>2.0200000000000001E-3</v>
      </c>
      <c r="H46" s="21">
        <v>4.4000000000000002E-4</v>
      </c>
      <c r="I46" s="21">
        <v>4.8000000000000001E-4</v>
      </c>
      <c r="J46" s="21">
        <v>-1.57E-3</v>
      </c>
      <c r="K46" s="21">
        <v>-3.6000000000000002E-4</v>
      </c>
      <c r="L46" s="21">
        <v>-4.4099999999999999E-3</v>
      </c>
      <c r="M46" s="21">
        <v>-9.3999999999999997E-4</v>
      </c>
      <c r="N46" s="21">
        <v>2.6199999999999999E-3</v>
      </c>
      <c r="O46" s="21">
        <v>1.5100000000000001E-3</v>
      </c>
      <c r="P46" s="21">
        <v>-3.5300000000000002E-3</v>
      </c>
      <c r="Q46" s="21">
        <v>-3.0799999999999998E-3</v>
      </c>
      <c r="R46" s="60">
        <v>9.2899999999999996E-3</v>
      </c>
      <c r="S46" s="18"/>
      <c r="T46" s="150"/>
      <c r="U46" s="229">
        <f t="shared" si="0"/>
        <v>43</v>
      </c>
      <c r="V46" s="131" t="s">
        <v>79</v>
      </c>
      <c r="W46" s="130" t="s">
        <v>174</v>
      </c>
      <c r="X46" s="146"/>
      <c r="Y46" s="146"/>
    </row>
    <row r="47" spans="1:25" s="14" customFormat="1" ht="12.75" customHeight="1">
      <c r="A47" s="63" t="s">
        <v>80</v>
      </c>
      <c r="B47" s="38">
        <v>1</v>
      </c>
      <c r="C47" s="22"/>
      <c r="D47" s="34"/>
      <c r="E47" s="21">
        <v>1.3849999999999999E-2</v>
      </c>
      <c r="F47" s="21">
        <v>8.9800000000000001E-3</v>
      </c>
      <c r="G47" s="21">
        <v>-5.9000000000000003E-4</v>
      </c>
      <c r="H47" s="21">
        <v>4.4999999999999999E-4</v>
      </c>
      <c r="I47" s="21">
        <v>4.0000000000000002E-4</v>
      </c>
      <c r="J47" s="21">
        <v>-1.1199999999999999E-3</v>
      </c>
      <c r="K47" s="21">
        <v>-3.1E-4</v>
      </c>
      <c r="L47" s="21">
        <v>-4.2500000000000003E-3</v>
      </c>
      <c r="M47" s="21">
        <v>-9.8999999999999999E-4</v>
      </c>
      <c r="N47" s="21">
        <v>3.2599999999999999E-3</v>
      </c>
      <c r="O47" s="21">
        <v>-5.1000000000000004E-4</v>
      </c>
      <c r="P47" s="21">
        <v>-3.3700000000000002E-3</v>
      </c>
      <c r="Q47" s="21">
        <v>-3.6900000000000001E-3</v>
      </c>
      <c r="R47" s="60">
        <v>1.2409999999999999E-2</v>
      </c>
      <c r="S47" s="18"/>
      <c r="T47" s="150"/>
      <c r="U47" s="229">
        <f t="shared" si="0"/>
        <v>44</v>
      </c>
      <c r="V47" s="131" t="s">
        <v>80</v>
      </c>
      <c r="W47" s="130" t="s">
        <v>175</v>
      </c>
      <c r="X47" s="146"/>
      <c r="Y47" s="146"/>
    </row>
    <row r="48" spans="1:25" s="14" customFormat="1" ht="12.75" customHeight="1">
      <c r="A48" s="63" t="s">
        <v>81</v>
      </c>
      <c r="B48" s="38">
        <v>1</v>
      </c>
      <c r="C48" s="22"/>
      <c r="D48" s="34"/>
      <c r="E48" s="21">
        <v>1.376E-2</v>
      </c>
      <c r="F48" s="21">
        <v>8.8999999999999999E-3</v>
      </c>
      <c r="G48" s="21">
        <v>6.9999999999999994E-5</v>
      </c>
      <c r="H48" s="21">
        <v>4.8000000000000001E-4</v>
      </c>
      <c r="I48" s="21">
        <v>3.8000000000000002E-4</v>
      </c>
      <c r="J48" s="21">
        <v>-9.5E-4</v>
      </c>
      <c r="K48" s="21">
        <v>-2.5000000000000001E-4</v>
      </c>
      <c r="L48" s="21">
        <v>-4.2199999999999998E-3</v>
      </c>
      <c r="M48" s="21">
        <v>-9.7000000000000005E-4</v>
      </c>
      <c r="N48" s="21">
        <v>-6.6E-4</v>
      </c>
      <c r="O48" s="21">
        <v>-1.0000000000000001E-5</v>
      </c>
      <c r="P48" s="21">
        <v>-3.3300000000000001E-3</v>
      </c>
      <c r="Q48" s="21">
        <v>-3.7399999999999998E-3</v>
      </c>
      <c r="R48" s="60">
        <v>1.018E-2</v>
      </c>
      <c r="S48" s="18"/>
      <c r="T48" s="150"/>
      <c r="U48" s="229">
        <f t="shared" si="0"/>
        <v>45</v>
      </c>
      <c r="V48" s="131" t="s">
        <v>81</v>
      </c>
      <c r="W48" s="130" t="s">
        <v>176</v>
      </c>
      <c r="X48" s="146"/>
      <c r="Y48" s="146"/>
    </row>
    <row r="49" spans="1:25" s="14" customFormat="1" ht="12.75" customHeight="1">
      <c r="A49" s="63" t="s">
        <v>82</v>
      </c>
      <c r="B49" s="38">
        <v>1</v>
      </c>
      <c r="C49" s="22"/>
      <c r="D49" s="34"/>
      <c r="E49" s="21">
        <v>-4.0000000000000003E-5</v>
      </c>
      <c r="F49" s="21">
        <v>0</v>
      </c>
      <c r="G49" s="21">
        <v>0</v>
      </c>
      <c r="H49" s="21">
        <v>0</v>
      </c>
      <c r="I49" s="21">
        <v>0</v>
      </c>
      <c r="J49" s="21">
        <v>0</v>
      </c>
      <c r="K49" s="21">
        <v>0</v>
      </c>
      <c r="L49" s="21">
        <v>0</v>
      </c>
      <c r="M49" s="21">
        <v>0</v>
      </c>
      <c r="N49" s="21">
        <v>0</v>
      </c>
      <c r="O49" s="21">
        <v>0</v>
      </c>
      <c r="P49" s="21">
        <v>0</v>
      </c>
      <c r="Q49" s="21">
        <v>0</v>
      </c>
      <c r="R49" s="60">
        <v>0</v>
      </c>
      <c r="S49" s="18"/>
      <c r="T49" s="150"/>
      <c r="U49" s="229">
        <f t="shared" si="0"/>
        <v>46</v>
      </c>
      <c r="V49" s="131" t="s">
        <v>82</v>
      </c>
      <c r="W49" s="130" t="s">
        <v>177</v>
      </c>
      <c r="X49" s="146"/>
      <c r="Y49" s="146"/>
    </row>
    <row r="50" spans="1:25" s="14" customFormat="1" ht="12.75" customHeight="1">
      <c r="A50" s="63" t="s">
        <v>83</v>
      </c>
      <c r="B50" s="38">
        <v>1</v>
      </c>
      <c r="C50" s="22"/>
      <c r="D50" s="34"/>
      <c r="E50" s="21">
        <v>1.225E-2</v>
      </c>
      <c r="F50" s="21">
        <v>4.3099999999999996E-3</v>
      </c>
      <c r="G50" s="21">
        <v>3.9500000000000004E-3</v>
      </c>
      <c r="H50" s="21">
        <v>1.24E-3</v>
      </c>
      <c r="I50" s="21">
        <v>-1.16E-3</v>
      </c>
      <c r="J50" s="21">
        <v>7.7799999999999996E-3</v>
      </c>
      <c r="K50" s="21">
        <v>2.2100000000000002E-3</v>
      </c>
      <c r="L50" s="21">
        <v>-2.0500000000000002E-3</v>
      </c>
      <c r="M50" s="21">
        <v>-7.7999999999999999E-4</v>
      </c>
      <c r="N50" s="21">
        <v>2.82E-3</v>
      </c>
      <c r="O50" s="21">
        <v>2.9199999999999999E-3</v>
      </c>
      <c r="P50" s="21">
        <v>7.79E-3</v>
      </c>
      <c r="Q50" s="21">
        <v>7.9399999999999991E-3</v>
      </c>
      <c r="R50" s="60">
        <v>3.3800000000000002E-3</v>
      </c>
      <c r="S50" s="18"/>
      <c r="T50" s="150"/>
      <c r="U50" s="229">
        <f t="shared" si="0"/>
        <v>47</v>
      </c>
      <c r="V50" s="131" t="s">
        <v>83</v>
      </c>
      <c r="W50" s="130" t="s">
        <v>157</v>
      </c>
      <c r="X50" s="146"/>
      <c r="Y50" s="146"/>
    </row>
    <row r="51" spans="1:25" s="14" customFormat="1" ht="12.75" customHeight="1">
      <c r="A51" s="63" t="s">
        <v>84</v>
      </c>
      <c r="B51" s="38">
        <v>1</v>
      </c>
      <c r="C51" s="22"/>
      <c r="D51" s="34"/>
      <c r="E51" s="21">
        <v>1.4840000000000001E-2</v>
      </c>
      <c r="F51" s="21">
        <v>7.2700000000000004E-3</v>
      </c>
      <c r="G51" s="21">
        <v>4.0499999999999998E-3</v>
      </c>
      <c r="H51" s="21">
        <v>8.1999999999999998E-4</v>
      </c>
      <c r="I51" s="21">
        <v>-4.0200000000000001E-3</v>
      </c>
      <c r="J51" s="21">
        <v>1.291E-2</v>
      </c>
      <c r="K51" s="21">
        <v>3.5799999999999998E-3</v>
      </c>
      <c r="L51" s="21">
        <v>-3.4499999999999999E-3</v>
      </c>
      <c r="M51" s="21">
        <v>-1.7799999999999999E-3</v>
      </c>
      <c r="N51" s="21">
        <v>2.6800000000000001E-3</v>
      </c>
      <c r="O51" s="21">
        <v>3.0599999999999998E-3</v>
      </c>
      <c r="P51" s="21">
        <v>7.0600000000000003E-3</v>
      </c>
      <c r="Q51" s="21">
        <v>6.9899999999999997E-3</v>
      </c>
      <c r="R51" s="60">
        <v>6.7299999999999999E-3</v>
      </c>
      <c r="S51" s="18"/>
      <c r="T51" s="150"/>
      <c r="U51" s="229">
        <f t="shared" si="0"/>
        <v>48</v>
      </c>
      <c r="V51" s="131" t="s">
        <v>84</v>
      </c>
      <c r="W51" s="229"/>
      <c r="X51" s="146"/>
      <c r="Y51" s="146"/>
    </row>
    <row r="52" spans="1:25" s="14" customFormat="1" ht="12.75" customHeight="1" thickBot="1">
      <c r="A52" s="63" t="s">
        <v>25</v>
      </c>
      <c r="B52" s="38">
        <v>1</v>
      </c>
      <c r="C52" s="22"/>
      <c r="D52" s="34"/>
      <c r="E52" s="21">
        <v>-1.0000000000000001E-5</v>
      </c>
      <c r="F52" s="21">
        <v>3.0000000000000001E-5</v>
      </c>
      <c r="G52" s="21">
        <v>1.1000000000000001E-3</v>
      </c>
      <c r="H52" s="21">
        <v>1.0000000000000001E-5</v>
      </c>
      <c r="I52" s="21">
        <v>6.9999999999999994E-5</v>
      </c>
      <c r="J52" s="21">
        <v>-1.7000000000000001E-4</v>
      </c>
      <c r="K52" s="21">
        <v>-1.0000000000000001E-5</v>
      </c>
      <c r="L52" s="21">
        <v>-1.0000000000000001E-5</v>
      </c>
      <c r="M52" s="21">
        <v>4.0000000000000003E-5</v>
      </c>
      <c r="N52" s="21">
        <v>-6.0000000000000002E-5</v>
      </c>
      <c r="O52" s="21">
        <v>-1.8699999999999999E-3</v>
      </c>
      <c r="P52" s="21">
        <v>-2.0000000000000002E-5</v>
      </c>
      <c r="Q52" s="21">
        <v>2.4000000000000001E-4</v>
      </c>
      <c r="R52" s="60">
        <v>-6.0000000000000002E-5</v>
      </c>
      <c r="S52" s="18"/>
      <c r="T52" s="150"/>
      <c r="U52" s="229">
        <f t="shared" si="0"/>
        <v>49</v>
      </c>
      <c r="V52" s="131" t="s">
        <v>25</v>
      </c>
      <c r="W52" s="130" t="s">
        <v>148</v>
      </c>
      <c r="X52" s="146"/>
      <c r="Y52" s="146"/>
    </row>
    <row r="53" spans="1:25" s="14" customFormat="1" ht="12.75" customHeight="1">
      <c r="A53" s="64" t="s">
        <v>26</v>
      </c>
      <c r="B53" s="51">
        <v>1</v>
      </c>
      <c r="C53" s="44"/>
      <c r="D53" s="52"/>
      <c r="E53" s="66">
        <v>1.57E-3</v>
      </c>
      <c r="F53" s="66">
        <v>1.1100000000000001E-3</v>
      </c>
      <c r="G53" s="66">
        <v>-1.1E-4</v>
      </c>
      <c r="H53" s="66">
        <v>-2.5000000000000001E-4</v>
      </c>
      <c r="I53" s="66">
        <v>4.6000000000000001E-4</v>
      </c>
      <c r="J53" s="66">
        <v>-2.7299999999999998E-3</v>
      </c>
      <c r="K53" s="66">
        <v>-7.3999999999999999E-4</v>
      </c>
      <c r="L53" s="66">
        <v>-5.2999999999999998E-4</v>
      </c>
      <c r="M53" s="66">
        <v>-2.0000000000000002E-5</v>
      </c>
      <c r="N53" s="66">
        <v>-1.7000000000000001E-4</v>
      </c>
      <c r="O53" s="66">
        <v>-5.0000000000000002E-5</v>
      </c>
      <c r="P53" s="66">
        <v>-5.9999999999999995E-4</v>
      </c>
      <c r="Q53" s="66">
        <v>-6.9999999999999999E-4</v>
      </c>
      <c r="R53" s="67">
        <v>1.31E-3</v>
      </c>
      <c r="S53" s="18"/>
      <c r="T53" s="150"/>
      <c r="U53" s="229">
        <f t="shared" si="0"/>
        <v>50</v>
      </c>
      <c r="V53" s="131" t="s">
        <v>26</v>
      </c>
      <c r="W53" s="130" t="s">
        <v>166</v>
      </c>
      <c r="X53" s="146"/>
      <c r="Y53" s="146"/>
    </row>
    <row r="54" spans="1:25" s="14" customFormat="1" ht="12.75" customHeight="1">
      <c r="A54" s="63" t="s">
        <v>27</v>
      </c>
      <c r="B54" s="38">
        <v>1</v>
      </c>
      <c r="C54" s="22"/>
      <c r="D54" s="34"/>
      <c r="E54" s="21">
        <v>-1.6000000000000001E-4</v>
      </c>
      <c r="F54" s="21">
        <v>-4.2000000000000002E-4</v>
      </c>
      <c r="G54" s="21">
        <v>-2.6099999999999999E-3</v>
      </c>
      <c r="H54" s="21">
        <v>2.0000000000000002E-5</v>
      </c>
      <c r="I54" s="21">
        <v>1.0000000000000001E-5</v>
      </c>
      <c r="J54" s="21">
        <v>2.5000000000000001E-4</v>
      </c>
      <c r="K54" s="21">
        <v>-1.0000000000000001E-5</v>
      </c>
      <c r="L54" s="21">
        <v>2.0000000000000001E-4</v>
      </c>
      <c r="M54" s="21">
        <v>-2.0000000000000002E-5</v>
      </c>
      <c r="N54" s="21">
        <v>2.3000000000000001E-4</v>
      </c>
      <c r="O54" s="21">
        <v>7.3099999999999997E-3</v>
      </c>
      <c r="P54" s="21">
        <v>1.8000000000000001E-4</v>
      </c>
      <c r="Q54" s="21">
        <v>-4.6000000000000001E-4</v>
      </c>
      <c r="R54" s="60">
        <v>-2.3000000000000001E-4</v>
      </c>
      <c r="S54" s="18"/>
      <c r="T54" s="150"/>
      <c r="U54" s="229">
        <f t="shared" si="0"/>
        <v>51</v>
      </c>
      <c r="V54" s="131" t="s">
        <v>27</v>
      </c>
      <c r="W54" s="130" t="s">
        <v>148</v>
      </c>
      <c r="X54" s="146"/>
      <c r="Y54" s="146"/>
    </row>
    <row r="55" spans="1:25" s="14" customFormat="1" ht="12.75" customHeight="1">
      <c r="A55" s="63" t="s">
        <v>110</v>
      </c>
      <c r="B55" s="38">
        <v>1</v>
      </c>
      <c r="C55" s="22"/>
      <c r="D55" s="34"/>
      <c r="E55" s="21">
        <v>0</v>
      </c>
      <c r="F55" s="21">
        <v>0</v>
      </c>
      <c r="G55" s="21">
        <v>0</v>
      </c>
      <c r="H55" s="21">
        <v>0</v>
      </c>
      <c r="I55" s="21">
        <v>0</v>
      </c>
      <c r="J55" s="21">
        <v>0</v>
      </c>
      <c r="K55" s="21">
        <v>0</v>
      </c>
      <c r="L55" s="21">
        <v>0</v>
      </c>
      <c r="M55" s="21">
        <v>0</v>
      </c>
      <c r="N55" s="21">
        <v>0</v>
      </c>
      <c r="O55" s="21">
        <v>0</v>
      </c>
      <c r="P55" s="21">
        <v>0</v>
      </c>
      <c r="Q55" s="21">
        <v>0</v>
      </c>
      <c r="R55" s="60">
        <v>0</v>
      </c>
      <c r="S55" s="18"/>
      <c r="T55" s="150"/>
      <c r="U55" s="229">
        <f t="shared" si="0"/>
        <v>52</v>
      </c>
      <c r="V55" s="131" t="s">
        <v>28</v>
      </c>
      <c r="W55" s="130" t="s">
        <v>178</v>
      </c>
      <c r="X55" s="146"/>
      <c r="Y55" s="146"/>
    </row>
    <row r="56" spans="1:25" s="14" customFormat="1" ht="12.75" customHeight="1">
      <c r="A56" s="63" t="s">
        <v>111</v>
      </c>
      <c r="B56" s="38">
        <v>1</v>
      </c>
      <c r="C56" s="22"/>
      <c r="D56" s="34"/>
      <c r="E56" s="21">
        <v>0</v>
      </c>
      <c r="F56" s="21">
        <v>0</v>
      </c>
      <c r="G56" s="21">
        <v>0</v>
      </c>
      <c r="H56" s="21">
        <v>0</v>
      </c>
      <c r="I56" s="21">
        <v>0</v>
      </c>
      <c r="J56" s="21">
        <v>0</v>
      </c>
      <c r="K56" s="21">
        <v>0</v>
      </c>
      <c r="L56" s="21">
        <v>0</v>
      </c>
      <c r="M56" s="21">
        <v>0</v>
      </c>
      <c r="N56" s="21">
        <v>0</v>
      </c>
      <c r="O56" s="21">
        <v>0</v>
      </c>
      <c r="P56" s="21">
        <v>0</v>
      </c>
      <c r="Q56" s="21">
        <v>0</v>
      </c>
      <c r="R56" s="60">
        <v>0</v>
      </c>
      <c r="S56" s="18"/>
      <c r="T56" s="150"/>
      <c r="U56" s="229">
        <f t="shared" si="0"/>
        <v>53</v>
      </c>
      <c r="V56" s="131" t="s">
        <v>29</v>
      </c>
      <c r="W56" s="130" t="s">
        <v>148</v>
      </c>
      <c r="X56" s="146"/>
      <c r="Y56" s="146"/>
    </row>
    <row r="57" spans="1:25" s="14" customFormat="1" ht="12.75" customHeight="1">
      <c r="A57" s="63" t="s">
        <v>28</v>
      </c>
      <c r="B57" s="38">
        <v>1</v>
      </c>
      <c r="C57" s="22"/>
      <c r="D57" s="34"/>
      <c r="E57" s="21">
        <v>-6.9999999999999999E-4</v>
      </c>
      <c r="F57" s="21">
        <v>-5.1999999999999995E-4</v>
      </c>
      <c r="G57" s="21">
        <v>-2.5999999999999998E-4</v>
      </c>
      <c r="H57" s="21">
        <v>-1.3999999999999999E-4</v>
      </c>
      <c r="I57" s="21">
        <v>-2.0000000000000001E-4</v>
      </c>
      <c r="J57" s="21">
        <v>1.1999999999999999E-3</v>
      </c>
      <c r="K57" s="21">
        <v>2.9999999999999997E-4</v>
      </c>
      <c r="L57" s="21">
        <v>2.5000000000000001E-4</v>
      </c>
      <c r="M57" s="21">
        <v>-1.0000000000000001E-5</v>
      </c>
      <c r="N57" s="21">
        <v>6.9999999999999994E-5</v>
      </c>
      <c r="O57" s="21">
        <v>-2.1000000000000001E-4</v>
      </c>
      <c r="P57" s="21">
        <v>2.5999999999999998E-4</v>
      </c>
      <c r="Q57" s="21">
        <v>2.5000000000000001E-4</v>
      </c>
      <c r="R57" s="60">
        <v>-5.9000000000000003E-4</v>
      </c>
      <c r="S57" s="18"/>
      <c r="T57" s="150"/>
      <c r="U57" s="229">
        <f t="shared" si="0"/>
        <v>54</v>
      </c>
      <c r="V57" s="131" t="s">
        <v>30</v>
      </c>
      <c r="W57" s="130" t="s">
        <v>147</v>
      </c>
      <c r="X57" s="146"/>
      <c r="Y57" s="146"/>
    </row>
    <row r="58" spans="1:25" s="14" customFormat="1" ht="12.75" customHeight="1">
      <c r="A58" s="63" t="s">
        <v>29</v>
      </c>
      <c r="B58" s="38">
        <v>1</v>
      </c>
      <c r="C58" s="22"/>
      <c r="D58" s="34"/>
      <c r="E58" s="21">
        <v>-6.9999999999999994E-5</v>
      </c>
      <c r="F58" s="21">
        <v>-2.5000000000000001E-4</v>
      </c>
      <c r="G58" s="21">
        <v>-2.3E-3</v>
      </c>
      <c r="H58" s="21">
        <v>0</v>
      </c>
      <c r="I58" s="21">
        <v>-5.0000000000000002E-5</v>
      </c>
      <c r="J58" s="21">
        <v>2.7999999999999998E-4</v>
      </c>
      <c r="K58" s="21">
        <v>1.0000000000000001E-5</v>
      </c>
      <c r="L58" s="21">
        <v>1.2E-4</v>
      </c>
      <c r="M58" s="21">
        <v>-4.0000000000000003E-5</v>
      </c>
      <c r="N58" s="21">
        <v>5.0000000000000002E-5</v>
      </c>
      <c r="O58" s="21">
        <v>5.0000000000000002E-5</v>
      </c>
      <c r="P58" s="21">
        <v>1.1E-4</v>
      </c>
      <c r="Q58" s="21">
        <v>-4.4999999999999999E-4</v>
      </c>
      <c r="R58" s="60">
        <v>-1E-4</v>
      </c>
      <c r="S58" s="18"/>
      <c r="T58" s="150"/>
      <c r="U58" s="229">
        <f t="shared" si="0"/>
        <v>55</v>
      </c>
      <c r="V58" s="131" t="s">
        <v>31</v>
      </c>
      <c r="W58" s="130" t="s">
        <v>152</v>
      </c>
      <c r="X58" s="146"/>
      <c r="Y58" s="146"/>
    </row>
    <row r="59" spans="1:25" s="14" customFormat="1" ht="12.75" customHeight="1">
      <c r="A59" s="63" t="s">
        <v>30</v>
      </c>
      <c r="B59" s="38">
        <v>1</v>
      </c>
      <c r="C59" s="22"/>
      <c r="D59" s="34"/>
      <c r="E59" s="21">
        <v>3.1E-4</v>
      </c>
      <c r="F59" s="21">
        <v>5.1000000000000004E-4</v>
      </c>
      <c r="G59" s="21">
        <v>-4.0000000000000003E-5</v>
      </c>
      <c r="H59" s="21">
        <v>-1.6000000000000001E-4</v>
      </c>
      <c r="I59" s="21">
        <v>2.5999999999999998E-4</v>
      </c>
      <c r="J59" s="21">
        <v>-6.4000000000000005E-4</v>
      </c>
      <c r="K59" s="21">
        <v>2.2000000000000001E-4</v>
      </c>
      <c r="L59" s="21">
        <v>-2.4000000000000001E-4</v>
      </c>
      <c r="M59" s="21">
        <v>3.3E-4</v>
      </c>
      <c r="N59" s="21">
        <v>-6.9999999999999994E-5</v>
      </c>
      <c r="O59" s="21">
        <v>-2.0000000000000002E-5</v>
      </c>
      <c r="P59" s="21">
        <v>-2.7E-4</v>
      </c>
      <c r="Q59" s="21">
        <v>-2.9999999999999997E-4</v>
      </c>
      <c r="R59" s="60">
        <v>5.9999999999999995E-4</v>
      </c>
      <c r="S59" s="18"/>
      <c r="T59" s="150"/>
      <c r="U59" s="124">
        <f t="shared" si="0"/>
        <v>56</v>
      </c>
      <c r="V59" s="128" t="s">
        <v>32</v>
      </c>
      <c r="W59" s="229"/>
      <c r="X59" s="146"/>
      <c r="Y59" s="146"/>
    </row>
    <row r="60" spans="1:25" s="14" customFormat="1" ht="12.75" customHeight="1">
      <c r="A60" s="63" t="s">
        <v>31</v>
      </c>
      <c r="B60" s="38">
        <v>1</v>
      </c>
      <c r="C60" s="22"/>
      <c r="D60" s="34"/>
      <c r="E60" s="21">
        <v>1.1E-4</v>
      </c>
      <c r="F60" s="21">
        <v>9.0000000000000006E-5</v>
      </c>
      <c r="G60" s="21">
        <v>2.0000000000000002E-5</v>
      </c>
      <c r="H60" s="21">
        <v>0</v>
      </c>
      <c r="I60" s="21">
        <v>-2.2100000000000002E-3</v>
      </c>
      <c r="J60" s="21">
        <v>1.6000000000000001E-4</v>
      </c>
      <c r="K60" s="21">
        <v>4.0000000000000003E-5</v>
      </c>
      <c r="L60" s="21">
        <v>-4.0000000000000003E-5</v>
      </c>
      <c r="M60" s="21">
        <v>-8.0000000000000007E-5</v>
      </c>
      <c r="N60" s="21">
        <v>1.0000000000000001E-5</v>
      </c>
      <c r="O60" s="21">
        <v>2.0000000000000002E-5</v>
      </c>
      <c r="P60" s="21">
        <v>2.0000000000000002E-5</v>
      </c>
      <c r="Q60" s="21">
        <v>1.0000000000000001E-5</v>
      </c>
      <c r="R60" s="60">
        <v>1E-4</v>
      </c>
      <c r="S60" s="18"/>
      <c r="T60" s="150"/>
      <c r="U60" s="124">
        <f t="shared" si="0"/>
        <v>57</v>
      </c>
      <c r="V60" s="131" t="s">
        <v>33</v>
      </c>
      <c r="W60" s="130" t="s">
        <v>172</v>
      </c>
      <c r="X60" s="146"/>
      <c r="Y60" s="146"/>
    </row>
    <row r="61" spans="1:25" s="14" customFormat="1" ht="12.75" customHeight="1">
      <c r="A61" s="230" t="s">
        <v>32</v>
      </c>
      <c r="B61" s="38">
        <v>1</v>
      </c>
      <c r="C61" s="22"/>
      <c r="D61" s="34"/>
      <c r="E61" s="21">
        <v>8.26E-3</v>
      </c>
      <c r="F61" s="21">
        <v>1.2789999999999999E-2</v>
      </c>
      <c r="G61" s="21">
        <v>-9.6000000000000002E-4</v>
      </c>
      <c r="H61" s="21">
        <v>3.7000000000000002E-3</v>
      </c>
      <c r="I61" s="21">
        <v>6.5500000000000003E-3</v>
      </c>
      <c r="J61" s="21">
        <v>-1.555E-2</v>
      </c>
      <c r="K61" s="21">
        <v>5.9199999999999999E-3</v>
      </c>
      <c r="L61" s="21">
        <v>-6.0400000000000002E-3</v>
      </c>
      <c r="M61" s="21">
        <v>8.4899999999999993E-3</v>
      </c>
      <c r="N61" s="21">
        <v>-1.6000000000000001E-3</v>
      </c>
      <c r="O61" s="21">
        <v>-4.2000000000000002E-4</v>
      </c>
      <c r="P61" s="21">
        <v>-6.2300000000000003E-3</v>
      </c>
      <c r="Q61" s="21">
        <v>-7.4599999999999996E-3</v>
      </c>
      <c r="R61" s="60">
        <v>1.502E-2</v>
      </c>
      <c r="S61" s="18"/>
      <c r="T61" s="150">
        <v>1</v>
      </c>
      <c r="U61" s="129">
        <f t="shared" si="0"/>
        <v>58</v>
      </c>
      <c r="V61" s="126" t="s">
        <v>34</v>
      </c>
      <c r="W61" s="130" t="s">
        <v>165</v>
      </c>
      <c r="X61" s="146"/>
      <c r="Y61" s="146"/>
    </row>
    <row r="62" spans="1:25" s="14" customFormat="1" ht="12.75" customHeight="1">
      <c r="A62" s="63" t="s">
        <v>33</v>
      </c>
      <c r="B62" s="38">
        <v>1</v>
      </c>
      <c r="C62" s="22"/>
      <c r="D62" s="34"/>
      <c r="E62" s="21">
        <v>5.2399999999999999E-3</v>
      </c>
      <c r="F62" s="21">
        <v>3.4199999999999999E-3</v>
      </c>
      <c r="G62" s="21">
        <v>9.0000000000000006E-5</v>
      </c>
      <c r="H62" s="21">
        <v>4.0000000000000002E-4</v>
      </c>
      <c r="I62" s="21">
        <v>1.06E-3</v>
      </c>
      <c r="J62" s="21">
        <v>-1.91E-3</v>
      </c>
      <c r="K62" s="21">
        <v>-5.1000000000000004E-4</v>
      </c>
      <c r="L62" s="21">
        <v>-1.6299999999999999E-3</v>
      </c>
      <c r="M62" s="21">
        <v>-2.1000000000000001E-4</v>
      </c>
      <c r="N62" s="21">
        <v>-2.1000000000000001E-4</v>
      </c>
      <c r="O62" s="21">
        <v>2.0000000000000002E-5</v>
      </c>
      <c r="P62" s="21">
        <v>-1.1999999999999999E-3</v>
      </c>
      <c r="Q62" s="21">
        <v>-1.33E-3</v>
      </c>
      <c r="R62" s="60">
        <v>3.8800000000000002E-3</v>
      </c>
      <c r="S62" s="18"/>
      <c r="T62" s="150"/>
      <c r="U62" s="124">
        <f t="shared" si="0"/>
        <v>59</v>
      </c>
      <c r="V62" s="126" t="s">
        <v>35</v>
      </c>
      <c r="W62" s="130" t="s">
        <v>173</v>
      </c>
      <c r="X62" s="146"/>
      <c r="Y62" s="146"/>
    </row>
    <row r="63" spans="1:25" s="14" customFormat="1" ht="12.75" customHeight="1">
      <c r="A63" s="63" t="s">
        <v>34</v>
      </c>
      <c r="B63" s="38">
        <v>1</v>
      </c>
      <c r="C63" s="22"/>
      <c r="D63" s="34"/>
      <c r="E63" s="21">
        <v>3.7069999999999999E-2</v>
      </c>
      <c r="F63" s="21">
        <v>2.5860000000000001E-2</v>
      </c>
      <c r="G63" s="21">
        <v>-2.1099999999999999E-3</v>
      </c>
      <c r="H63" s="21">
        <v>8.7200000000000003E-3</v>
      </c>
      <c r="I63" s="21">
        <v>1.047E-2</v>
      </c>
      <c r="J63" s="21">
        <v>-6.0470000000000003E-2</v>
      </c>
      <c r="K63" s="21">
        <v>-1.7770000000000001E-2</v>
      </c>
      <c r="L63" s="21">
        <v>-1.209E-2</v>
      </c>
      <c r="M63" s="21">
        <v>-9.5E-4</v>
      </c>
      <c r="N63" s="21">
        <v>-3.16E-3</v>
      </c>
      <c r="O63" s="21">
        <v>-2.4000000000000001E-4</v>
      </c>
      <c r="P63" s="21">
        <v>-1.2970000000000001E-2</v>
      </c>
      <c r="Q63" s="21">
        <v>-1.5310000000000001E-2</v>
      </c>
      <c r="R63" s="60">
        <v>2.9899999999999999E-2</v>
      </c>
      <c r="S63" s="18"/>
      <c r="T63" s="150"/>
      <c r="U63" s="124">
        <f t="shared" si="0"/>
        <v>60</v>
      </c>
      <c r="V63" s="126" t="s">
        <v>36</v>
      </c>
      <c r="W63" s="130" t="s">
        <v>153</v>
      </c>
      <c r="X63" s="146"/>
      <c r="Y63" s="146"/>
    </row>
    <row r="64" spans="1:25" s="14" customFormat="1" ht="12.75" customHeight="1">
      <c r="A64" s="63" t="s">
        <v>35</v>
      </c>
      <c r="B64" s="38">
        <v>1</v>
      </c>
      <c r="C64" s="22"/>
      <c r="D64" s="34"/>
      <c r="E64" s="21">
        <v>8.0829999999999999E-2</v>
      </c>
      <c r="F64" s="21">
        <v>5.484E-2</v>
      </c>
      <c r="G64" s="21">
        <v>-2.5000000000000001E-4</v>
      </c>
      <c r="H64" s="21">
        <v>6.8100000000000001E-3</v>
      </c>
      <c r="I64" s="21">
        <v>2.0070000000000001E-2</v>
      </c>
      <c r="J64" s="21">
        <v>-2.9420000000000002E-2</v>
      </c>
      <c r="K64" s="21">
        <v>-7.9399999999999991E-3</v>
      </c>
      <c r="L64" s="21">
        <v>-2.5069999999999999E-2</v>
      </c>
      <c r="M64" s="21">
        <v>-2.2000000000000001E-3</v>
      </c>
      <c r="N64" s="21">
        <v>-3.31E-3</v>
      </c>
      <c r="O64" s="21">
        <v>2.1700000000000001E-3</v>
      </c>
      <c r="P64" s="21">
        <v>-1.856E-2</v>
      </c>
      <c r="Q64" s="21">
        <v>-2.1499999999999998E-2</v>
      </c>
      <c r="R64" s="60">
        <v>6.2579999999999997E-2</v>
      </c>
      <c r="S64" s="18"/>
      <c r="T64" s="150"/>
      <c r="U64" s="124">
        <f t="shared" si="0"/>
        <v>61</v>
      </c>
      <c r="V64" s="125" t="s">
        <v>37</v>
      </c>
      <c r="W64" s="229"/>
      <c r="X64" s="146"/>
      <c r="Y64" s="146"/>
    </row>
    <row r="65" spans="1:25" s="14" customFormat="1" ht="12.75" customHeight="1">
      <c r="A65" s="63" t="s">
        <v>36</v>
      </c>
      <c r="B65" s="38">
        <v>1</v>
      </c>
      <c r="C65" s="22"/>
      <c r="D65" s="34"/>
      <c r="E65" s="21">
        <v>6.9999999999999994E-5</v>
      </c>
      <c r="F65" s="21">
        <v>5.0000000000000002E-5</v>
      </c>
      <c r="G65" s="21">
        <v>-8.5999999999999998E-4</v>
      </c>
      <c r="H65" s="21">
        <v>-3.0000000000000001E-5</v>
      </c>
      <c r="I65" s="21">
        <v>1.0000000000000001E-5</v>
      </c>
      <c r="J65" s="21">
        <v>-1.2E-4</v>
      </c>
      <c r="K65" s="21">
        <v>-6.0000000000000002E-5</v>
      </c>
      <c r="L65" s="21">
        <v>-2.0000000000000002E-5</v>
      </c>
      <c r="M65" s="21">
        <v>-2.0000000000000002E-5</v>
      </c>
      <c r="N65" s="21">
        <v>4.0099999999999997E-3</v>
      </c>
      <c r="O65" s="21">
        <v>2.7999999999999998E-4</v>
      </c>
      <c r="P65" s="21">
        <v>-2.0000000000000002E-5</v>
      </c>
      <c r="Q65" s="21">
        <v>1.0000000000000001E-5</v>
      </c>
      <c r="R65" s="60">
        <v>9.7000000000000005E-4</v>
      </c>
      <c r="S65" s="18"/>
      <c r="T65" s="150"/>
      <c r="U65" s="124">
        <f t="shared" si="0"/>
        <v>62</v>
      </c>
      <c r="V65" s="125" t="s">
        <v>38</v>
      </c>
      <c r="W65" s="229"/>
      <c r="X65" s="146"/>
      <c r="Y65" s="146"/>
    </row>
    <row r="66" spans="1:25" s="14" customFormat="1" ht="12.75" customHeight="1">
      <c r="A66" s="230" t="s">
        <v>37</v>
      </c>
      <c r="B66" s="38">
        <v>1</v>
      </c>
      <c r="C66" s="22"/>
      <c r="D66" s="34"/>
      <c r="E66" s="21">
        <v>5.4030000000000002E-2</v>
      </c>
      <c r="F66" s="21">
        <v>3.9879999999999999E-2</v>
      </c>
      <c r="G66" s="21">
        <v>8.5100000000000002E-3</v>
      </c>
      <c r="H66" s="21">
        <v>-2.4099999999999998E-3</v>
      </c>
      <c r="I66" s="21">
        <v>1.4370000000000001E-2</v>
      </c>
      <c r="J66" s="21">
        <v>-4.7999999999999996E-3</v>
      </c>
      <c r="K66" s="21">
        <v>4.0099999999999997E-3</v>
      </c>
      <c r="L66" s="21">
        <v>-1.8440000000000002E-2</v>
      </c>
      <c r="M66" s="21">
        <v>2.7699999999999999E-3</v>
      </c>
      <c r="N66" s="21">
        <v>5.3400000000000001E-3</v>
      </c>
      <c r="O66" s="21">
        <v>6.8999999999999999E-3</v>
      </c>
      <c r="P66" s="21">
        <v>-1.619E-2</v>
      </c>
      <c r="Q66" s="21">
        <v>1.7799999999999999E-3</v>
      </c>
      <c r="R66" s="60">
        <v>4.2970000000000001E-2</v>
      </c>
      <c r="S66" s="18"/>
      <c r="T66" s="150">
        <v>1</v>
      </c>
      <c r="U66" s="129">
        <f t="shared" si="0"/>
        <v>63</v>
      </c>
      <c r="V66" s="126" t="s">
        <v>39</v>
      </c>
      <c r="W66" s="130" t="s">
        <v>198</v>
      </c>
      <c r="X66" s="146"/>
      <c r="Y66" s="146"/>
    </row>
    <row r="67" spans="1:25" s="14" customFormat="1" ht="12.75" customHeight="1">
      <c r="A67" s="230" t="s">
        <v>38</v>
      </c>
      <c r="B67" s="38">
        <v>1</v>
      </c>
      <c r="C67" s="22"/>
      <c r="D67" s="34"/>
      <c r="E67" s="21">
        <v>1.5100000000000001E-3</v>
      </c>
      <c r="F67" s="21">
        <v>2.4499999999999999E-3</v>
      </c>
      <c r="G67" s="21">
        <v>-2.2000000000000001E-4</v>
      </c>
      <c r="H67" s="21">
        <v>2.4499999999999999E-3</v>
      </c>
      <c r="I67" s="21">
        <v>1.25E-3</v>
      </c>
      <c r="J67" s="21">
        <v>-2.7100000000000002E-3</v>
      </c>
      <c r="K67" s="21">
        <v>1.39E-3</v>
      </c>
      <c r="L67" s="21">
        <v>-1.16E-3</v>
      </c>
      <c r="M67" s="21">
        <v>1.7600000000000001E-3</v>
      </c>
      <c r="N67" s="21">
        <v>-3.5E-4</v>
      </c>
      <c r="O67" s="21">
        <v>-1E-4</v>
      </c>
      <c r="P67" s="21">
        <v>-1.1000000000000001E-3</v>
      </c>
      <c r="Q67" s="21">
        <v>-1.5100000000000001E-3</v>
      </c>
      <c r="R67" s="60">
        <v>2.9099999999999998E-3</v>
      </c>
      <c r="S67" s="18"/>
      <c r="T67" s="150">
        <v>1</v>
      </c>
      <c r="U67" s="129">
        <f t="shared" si="0"/>
        <v>64</v>
      </c>
      <c r="V67" s="126" t="s">
        <v>40</v>
      </c>
      <c r="W67" s="130" t="s">
        <v>198</v>
      </c>
      <c r="X67" s="146"/>
      <c r="Y67" s="146"/>
    </row>
    <row r="68" spans="1:25" s="14" customFormat="1" ht="12.75" customHeight="1">
      <c r="A68" s="63" t="s">
        <v>39</v>
      </c>
      <c r="B68" s="38">
        <v>1</v>
      </c>
      <c r="C68" s="22"/>
      <c r="D68" s="34"/>
      <c r="E68" s="21">
        <v>1.18E-2</v>
      </c>
      <c r="F68" s="21">
        <v>3.3999999999999998E-3</v>
      </c>
      <c r="G68" s="21">
        <v>4.0400000000000002E-3</v>
      </c>
      <c r="H68" s="21">
        <v>1.4300000000000001E-3</v>
      </c>
      <c r="I68" s="21">
        <v>1.6299999999999999E-3</v>
      </c>
      <c r="J68" s="21">
        <v>6.1799999999999997E-3</v>
      </c>
      <c r="K68" s="21">
        <v>1.7899999999999999E-3</v>
      </c>
      <c r="L68" s="21">
        <v>8.3000000000000001E-3</v>
      </c>
      <c r="M68" s="21">
        <v>2.3E-3</v>
      </c>
      <c r="N68" s="21">
        <v>2.96E-3</v>
      </c>
      <c r="O68" s="21">
        <v>2.97E-3</v>
      </c>
      <c r="P68" s="21">
        <v>8.2900000000000005E-3</v>
      </c>
      <c r="Q68" s="21">
        <v>8.5400000000000007E-3</v>
      </c>
      <c r="R68" s="60">
        <v>2.2899999999999999E-3</v>
      </c>
      <c r="S68" s="18"/>
      <c r="T68" s="150"/>
      <c r="U68" s="124">
        <f t="shared" si="0"/>
        <v>65</v>
      </c>
      <c r="V68" s="126" t="s">
        <v>41</v>
      </c>
      <c r="W68" s="130" t="s">
        <v>199</v>
      </c>
      <c r="X68" s="146"/>
      <c r="Y68" s="146"/>
    </row>
    <row r="69" spans="1:25" s="14" customFormat="1" ht="12.75" customHeight="1">
      <c r="A69" s="63" t="s">
        <v>40</v>
      </c>
      <c r="B69" s="38">
        <v>1</v>
      </c>
      <c r="C69" s="22"/>
      <c r="D69" s="34"/>
      <c r="E69" s="21">
        <v>1.8450000000000001E-2</v>
      </c>
      <c r="F69" s="21">
        <v>5.3E-3</v>
      </c>
      <c r="G69" s="21">
        <v>6.3E-3</v>
      </c>
      <c r="H69" s="21">
        <v>2.2300000000000002E-3</v>
      </c>
      <c r="I69" s="21">
        <v>2.5400000000000002E-3</v>
      </c>
      <c r="J69" s="21">
        <v>9.6500000000000006E-3</v>
      </c>
      <c r="K69" s="21">
        <v>2.7899999999999999E-3</v>
      </c>
      <c r="L69" s="21">
        <v>1.2959999999999999E-2</v>
      </c>
      <c r="M69" s="21">
        <v>3.5899999999999999E-3</v>
      </c>
      <c r="N69" s="21">
        <v>4.6299999999999996E-3</v>
      </c>
      <c r="O69" s="21">
        <v>4.64E-3</v>
      </c>
      <c r="P69" s="21">
        <v>1.295E-2</v>
      </c>
      <c r="Q69" s="21">
        <v>1.3339999999999999E-2</v>
      </c>
      <c r="R69" s="60">
        <v>3.5799999999999998E-3</v>
      </c>
      <c r="S69" s="18"/>
      <c r="T69" s="150"/>
      <c r="U69" s="124">
        <f t="shared" si="0"/>
        <v>66</v>
      </c>
      <c r="V69" s="125" t="s">
        <v>42</v>
      </c>
      <c r="W69" s="229"/>
      <c r="X69" s="146"/>
      <c r="Y69" s="146"/>
    </row>
    <row r="70" spans="1:25" s="14" customFormat="1" ht="12.75" customHeight="1">
      <c r="A70" s="63" t="s">
        <v>41</v>
      </c>
      <c r="B70" s="38">
        <v>1</v>
      </c>
      <c r="C70" s="22"/>
      <c r="D70" s="34"/>
      <c r="E70" s="21">
        <v>6.96E-3</v>
      </c>
      <c r="F70" s="21">
        <v>9.4800000000000006E-3</v>
      </c>
      <c r="G70" s="21">
        <v>5.0099999999999997E-3</v>
      </c>
      <c r="H70" s="21">
        <v>4.5500000000000002E-3</v>
      </c>
      <c r="I70" s="21">
        <v>4.8700000000000002E-3</v>
      </c>
      <c r="J70" s="21">
        <v>-3.2000000000000003E-4</v>
      </c>
      <c r="K70" s="21">
        <v>9.5899999999999996E-3</v>
      </c>
      <c r="L70" s="21">
        <v>2.5000000000000001E-4</v>
      </c>
      <c r="M70" s="21">
        <v>9.1299999999999992E-3</v>
      </c>
      <c r="N70" s="21">
        <v>3.3E-4</v>
      </c>
      <c r="O70" s="21">
        <v>1.8000000000000001E-4</v>
      </c>
      <c r="P70" s="21">
        <v>3.6000000000000002E-4</v>
      </c>
      <c r="Q70" s="21">
        <v>4.6000000000000001E-4</v>
      </c>
      <c r="R70" s="60">
        <v>1.008E-2</v>
      </c>
      <c r="S70" s="18"/>
      <c r="T70" s="150"/>
      <c r="U70" s="124">
        <f t="shared" ref="U70:U93" si="1">U69+1</f>
        <v>67</v>
      </c>
      <c r="V70" s="126" t="s">
        <v>43</v>
      </c>
      <c r="W70" s="130" t="s">
        <v>179</v>
      </c>
      <c r="X70" s="146"/>
      <c r="Y70" s="146"/>
    </row>
    <row r="71" spans="1:25" s="14" customFormat="1" ht="12.75" customHeight="1">
      <c r="A71" s="230" t="s">
        <v>42</v>
      </c>
      <c r="B71" s="38">
        <v>1</v>
      </c>
      <c r="C71" s="22"/>
      <c r="D71" s="34"/>
      <c r="E71" s="21">
        <v>9.6200000000000001E-3</v>
      </c>
      <c r="F71" s="21">
        <v>-4.0000000000000002E-4</v>
      </c>
      <c r="G71" s="21">
        <v>1.01E-3</v>
      </c>
      <c r="H71" s="21">
        <v>4.8999999999999998E-4</v>
      </c>
      <c r="I71" s="21">
        <v>-1.1E-4</v>
      </c>
      <c r="J71" s="21">
        <v>1.047E-2</v>
      </c>
      <c r="K71" s="21">
        <v>3.0000000000000001E-5</v>
      </c>
      <c r="L71" s="21">
        <v>1.017E-2</v>
      </c>
      <c r="M71" s="21">
        <v>-6.9999999999999994E-5</v>
      </c>
      <c r="N71" s="21">
        <v>5.5799999999999999E-3</v>
      </c>
      <c r="O71" s="21">
        <v>9.5700000000000004E-3</v>
      </c>
      <c r="P71" s="21">
        <v>1.018E-2</v>
      </c>
      <c r="Q71" s="21">
        <v>1.0109999999999999E-2</v>
      </c>
      <c r="R71" s="60">
        <v>-1.48E-3</v>
      </c>
      <c r="S71" s="18"/>
      <c r="T71" s="150">
        <v>1</v>
      </c>
      <c r="U71" s="129">
        <f t="shared" si="1"/>
        <v>68</v>
      </c>
      <c r="V71" s="126" t="s">
        <v>44</v>
      </c>
      <c r="W71" s="130" t="s">
        <v>181</v>
      </c>
      <c r="X71" s="146"/>
      <c r="Y71" s="146"/>
    </row>
    <row r="72" spans="1:25" s="14" customFormat="1" ht="12.75" customHeight="1">
      <c r="A72" s="230" t="s">
        <v>46</v>
      </c>
      <c r="B72" s="38">
        <v>1</v>
      </c>
      <c r="C72" s="22"/>
      <c r="D72" s="34"/>
      <c r="E72" s="21">
        <v>-2.1700000000000001E-3</v>
      </c>
      <c r="F72" s="21">
        <v>-1.1849999999999999E-2</v>
      </c>
      <c r="G72" s="21">
        <v>3.0000000000000001E-5</v>
      </c>
      <c r="H72" s="21">
        <v>1.42E-3</v>
      </c>
      <c r="I72" s="21">
        <v>5.1500000000000001E-3</v>
      </c>
      <c r="J72" s="21">
        <v>-4.8900000000000002E-3</v>
      </c>
      <c r="K72" s="21">
        <v>-1.2999999999999999E-3</v>
      </c>
      <c r="L72" s="21">
        <v>5.6800000000000002E-3</v>
      </c>
      <c r="M72" s="21">
        <v>2.2699999999999999E-3</v>
      </c>
      <c r="N72" s="21">
        <v>0</v>
      </c>
      <c r="O72" s="21">
        <v>-2.8800000000000002E-3</v>
      </c>
      <c r="P72" s="21">
        <v>4.4400000000000004E-3</v>
      </c>
      <c r="Q72" s="21">
        <v>2.3800000000000002E-3</v>
      </c>
      <c r="R72" s="60">
        <v>-1.3089999999999999E-2</v>
      </c>
      <c r="S72" s="18"/>
      <c r="T72" s="150">
        <v>1</v>
      </c>
      <c r="U72" s="129">
        <f t="shared" si="1"/>
        <v>69</v>
      </c>
      <c r="V72" s="126" t="s">
        <v>45</v>
      </c>
      <c r="W72" s="130" t="s">
        <v>180</v>
      </c>
      <c r="X72" s="146"/>
      <c r="Y72" s="146"/>
    </row>
    <row r="73" spans="1:25" s="14" customFormat="1" ht="12.75" customHeight="1">
      <c r="A73" s="230" t="s">
        <v>47</v>
      </c>
      <c r="B73" s="38">
        <v>1</v>
      </c>
      <c r="C73" s="22"/>
      <c r="D73" s="34"/>
      <c r="E73" s="21">
        <v>-7.6899999999999998E-3</v>
      </c>
      <c r="F73" s="21">
        <v>-1.0279999999999999E-2</v>
      </c>
      <c r="G73" s="21">
        <v>1.2600000000000001E-3</v>
      </c>
      <c r="H73" s="21">
        <v>1.89E-3</v>
      </c>
      <c r="I73" s="21">
        <v>-3.1700000000000001E-3</v>
      </c>
      <c r="J73" s="21">
        <v>1.9879999999999998E-2</v>
      </c>
      <c r="K73" s="21">
        <v>5.3800000000000002E-3</v>
      </c>
      <c r="L73" s="21">
        <v>4.9199999999999999E-3</v>
      </c>
      <c r="M73" s="21">
        <v>2.7999999999999998E-4</v>
      </c>
      <c r="N73" s="21">
        <v>8.4999999999999995E-4</v>
      </c>
      <c r="O73" s="21">
        <v>-1.98E-3</v>
      </c>
      <c r="P73" s="21">
        <v>7.0000000000000001E-3</v>
      </c>
      <c r="Q73" s="21">
        <v>4.7299999999999998E-3</v>
      </c>
      <c r="R73" s="60">
        <v>-1.175E-2</v>
      </c>
      <c r="S73" s="18"/>
      <c r="T73" s="150">
        <v>1</v>
      </c>
      <c r="U73" s="129">
        <f t="shared" si="1"/>
        <v>70</v>
      </c>
      <c r="V73" s="126" t="s">
        <v>46</v>
      </c>
      <c r="W73" s="130"/>
      <c r="X73" s="146"/>
      <c r="Y73" s="146"/>
    </row>
    <row r="74" spans="1:25" s="14" customFormat="1" ht="12.75" customHeight="1" thickBot="1">
      <c r="A74" s="230" t="s">
        <v>48</v>
      </c>
      <c r="B74" s="38">
        <v>1</v>
      </c>
      <c r="C74" s="22"/>
      <c r="D74" s="34"/>
      <c r="E74" s="21">
        <v>2.4499999999999999E-3</v>
      </c>
      <c r="F74" s="21">
        <v>-6.6299999999999996E-3</v>
      </c>
      <c r="G74" s="21">
        <v>2.2000000000000001E-4</v>
      </c>
      <c r="H74" s="21">
        <v>6.7000000000000002E-4</v>
      </c>
      <c r="I74" s="21">
        <v>1.9000000000000001E-4</v>
      </c>
      <c r="J74" s="21">
        <v>4.1700000000000001E-3</v>
      </c>
      <c r="K74" s="21">
        <v>1.1299999999999999E-3</v>
      </c>
      <c r="L74" s="21">
        <v>3.1700000000000001E-3</v>
      </c>
      <c r="M74" s="21">
        <v>7.6000000000000004E-4</v>
      </c>
      <c r="N74" s="21">
        <v>-2.4000000000000001E-4</v>
      </c>
      <c r="O74" s="21">
        <v>-2.64E-3</v>
      </c>
      <c r="P74" s="21">
        <v>3.1700000000000001E-3</v>
      </c>
      <c r="Q74" s="21">
        <v>7.2000000000000005E-4</v>
      </c>
      <c r="R74" s="60">
        <v>-7.1599999999999997E-3</v>
      </c>
      <c r="S74" s="18"/>
      <c r="T74" s="150">
        <v>1</v>
      </c>
      <c r="U74" s="129">
        <f t="shared" si="1"/>
        <v>71</v>
      </c>
      <c r="V74" s="126" t="s">
        <v>47</v>
      </c>
      <c r="W74" s="130"/>
      <c r="X74" s="146"/>
      <c r="Y74" s="146"/>
    </row>
    <row r="75" spans="1:25" s="14" customFormat="1" ht="12.75" customHeight="1">
      <c r="A75" s="233" t="s">
        <v>91</v>
      </c>
      <c r="B75" s="51">
        <v>1</v>
      </c>
      <c r="C75" s="44"/>
      <c r="D75" s="52"/>
      <c r="E75" s="66">
        <v>-1.1804E-2</v>
      </c>
      <c r="F75" s="66">
        <v>-3.3960000000000001E-3</v>
      </c>
      <c r="G75" s="66">
        <v>-4.045E-3</v>
      </c>
      <c r="H75" s="66">
        <v>-1.431E-3</v>
      </c>
      <c r="I75" s="66">
        <v>-1.6329999999999999E-3</v>
      </c>
      <c r="J75" s="66">
        <v>-6.182E-3</v>
      </c>
      <c r="K75" s="66">
        <v>-1.789E-3</v>
      </c>
      <c r="L75" s="66">
        <v>-8.2970000000000006E-3</v>
      </c>
      <c r="M75" s="66">
        <v>-2.3040000000000001E-3</v>
      </c>
      <c r="N75" s="66">
        <v>-2.9619999999999998E-3</v>
      </c>
      <c r="O75" s="66">
        <v>-2.9680000000000002E-3</v>
      </c>
      <c r="P75" s="66">
        <v>-8.2909999999999998E-3</v>
      </c>
      <c r="Q75" s="66">
        <v>-8.5400000000000007E-3</v>
      </c>
      <c r="R75" s="67">
        <v>-2.294E-3</v>
      </c>
      <c r="S75" s="18"/>
      <c r="T75" s="150">
        <v>1</v>
      </c>
      <c r="U75" s="129">
        <f t="shared" si="1"/>
        <v>72</v>
      </c>
      <c r="V75" s="126" t="s">
        <v>48</v>
      </c>
      <c r="W75" s="130"/>
      <c r="X75" s="146"/>
      <c r="Y75" s="146"/>
    </row>
    <row r="76" spans="1:25" s="14" customFormat="1" ht="12.75" customHeight="1">
      <c r="A76" s="63" t="s">
        <v>92</v>
      </c>
      <c r="B76" s="38">
        <v>1</v>
      </c>
      <c r="C76" s="22"/>
      <c r="D76" s="34"/>
      <c r="E76" s="21">
        <v>-6.96E-3</v>
      </c>
      <c r="F76" s="21">
        <v>-9.4800000000000006E-3</v>
      </c>
      <c r="G76" s="21">
        <v>-5.0099999999999997E-3</v>
      </c>
      <c r="H76" s="21">
        <v>-4.5500000000000002E-3</v>
      </c>
      <c r="I76" s="21">
        <v>-4.8700000000000002E-3</v>
      </c>
      <c r="J76" s="21">
        <v>3.2000000000000003E-4</v>
      </c>
      <c r="K76" s="21">
        <v>-9.5899999999999996E-3</v>
      </c>
      <c r="L76" s="21">
        <v>-2.5000000000000001E-4</v>
      </c>
      <c r="M76" s="21">
        <v>-9.1299999999999992E-3</v>
      </c>
      <c r="N76" s="21">
        <v>-3.3E-4</v>
      </c>
      <c r="O76" s="21">
        <v>-1.8000000000000001E-4</v>
      </c>
      <c r="P76" s="21">
        <v>-3.6000000000000002E-4</v>
      </c>
      <c r="Q76" s="21">
        <v>-4.6000000000000001E-4</v>
      </c>
      <c r="R76" s="60">
        <v>-1.008E-2</v>
      </c>
      <c r="S76" s="18"/>
      <c r="T76" s="150"/>
      <c r="U76" s="124">
        <f t="shared" si="1"/>
        <v>73</v>
      </c>
      <c r="V76" s="128" t="s">
        <v>46</v>
      </c>
      <c r="W76" s="229"/>
      <c r="X76" s="146"/>
      <c r="Y76" s="146"/>
    </row>
    <row r="77" spans="1:25" s="14" customFormat="1" ht="12.75" customHeight="1">
      <c r="A77" s="230" t="s">
        <v>93</v>
      </c>
      <c r="B77" s="38">
        <v>1</v>
      </c>
      <c r="C77" s="22"/>
      <c r="D77" s="34"/>
      <c r="E77" s="21">
        <v>-1.0499999999999999E-3</v>
      </c>
      <c r="F77" s="21">
        <v>-7.7799999999999996E-3</v>
      </c>
      <c r="G77" s="21">
        <v>-2.99E-3</v>
      </c>
      <c r="H77" s="21">
        <v>-3.8300000000000001E-3</v>
      </c>
      <c r="I77" s="21">
        <v>-4.0600000000000002E-3</v>
      </c>
      <c r="J77" s="21">
        <v>3.4099999999999998E-3</v>
      </c>
      <c r="K77" s="21">
        <v>-8.6999999999999994E-3</v>
      </c>
      <c r="L77" s="21">
        <v>3.8999999999999998E-3</v>
      </c>
      <c r="M77" s="21">
        <v>-7.9799999999999992E-3</v>
      </c>
      <c r="N77" s="21">
        <v>1.15E-3</v>
      </c>
      <c r="O77" s="21">
        <v>1.31E-3</v>
      </c>
      <c r="P77" s="21">
        <v>3.7799999999999999E-3</v>
      </c>
      <c r="Q77" s="21">
        <v>3.81E-3</v>
      </c>
      <c r="R77" s="60">
        <v>-8.9300000000000004E-3</v>
      </c>
      <c r="S77" s="18"/>
      <c r="T77" s="150">
        <v>1</v>
      </c>
      <c r="U77" s="129">
        <f t="shared" si="1"/>
        <v>74</v>
      </c>
      <c r="V77" s="128" t="s">
        <v>47</v>
      </c>
      <c r="W77" s="229"/>
      <c r="X77" s="146"/>
      <c r="Y77" s="146"/>
    </row>
    <row r="78" spans="1:25" s="14" customFormat="1" ht="12.75" customHeight="1">
      <c r="A78" s="230" t="s">
        <v>89</v>
      </c>
      <c r="B78" s="38">
        <v>1</v>
      </c>
      <c r="C78" s="22"/>
      <c r="D78" s="34"/>
      <c r="E78" s="21">
        <v>-5.8999999999999999E-3</v>
      </c>
      <c r="F78" s="21">
        <v>8.3000000000000001E-3</v>
      </c>
      <c r="G78" s="21">
        <v>-2.0200000000000001E-3</v>
      </c>
      <c r="H78" s="21">
        <v>-7.2000000000000005E-4</v>
      </c>
      <c r="I78" s="21">
        <v>-8.1999999999999998E-4</v>
      </c>
      <c r="J78" s="21">
        <v>-3.0899999999999999E-3</v>
      </c>
      <c r="K78" s="21">
        <v>-8.8999999999999995E-4</v>
      </c>
      <c r="L78" s="21">
        <v>-4.15E-3</v>
      </c>
      <c r="M78" s="21">
        <v>-1.15E-3</v>
      </c>
      <c r="N78" s="21">
        <v>-1.48E-3</v>
      </c>
      <c r="O78" s="21">
        <v>-1.48E-3</v>
      </c>
      <c r="P78" s="21">
        <v>-4.15E-3</v>
      </c>
      <c r="Q78" s="21">
        <v>-4.2700000000000004E-3</v>
      </c>
      <c r="R78" s="60">
        <v>-1.15E-3</v>
      </c>
      <c r="S78" s="18"/>
      <c r="T78" s="150">
        <v>1</v>
      </c>
      <c r="U78" s="129">
        <f t="shared" si="1"/>
        <v>75</v>
      </c>
      <c r="V78" s="128" t="s">
        <v>48</v>
      </c>
      <c r="W78" s="229"/>
      <c r="X78" s="146"/>
      <c r="Y78" s="146"/>
    </row>
    <row r="79" spans="1:25" s="14" customFormat="1" ht="12.75" customHeight="1">
      <c r="A79" s="230" t="s">
        <v>94</v>
      </c>
      <c r="B79" s="38">
        <v>1</v>
      </c>
      <c r="C79" s="22"/>
      <c r="D79" s="34"/>
      <c r="E79" s="21">
        <v>-1.18E-2</v>
      </c>
      <c r="F79" s="21">
        <v>-3.3999999999999998E-3</v>
      </c>
      <c r="G79" s="21">
        <v>-4.0400000000000002E-3</v>
      </c>
      <c r="H79" s="21">
        <v>-1.4300000000000001E-3</v>
      </c>
      <c r="I79" s="21">
        <v>-1.6299999999999999E-3</v>
      </c>
      <c r="J79" s="21">
        <v>-6.1799999999999997E-3</v>
      </c>
      <c r="K79" s="21">
        <v>-1.7899999999999999E-3</v>
      </c>
      <c r="L79" s="21">
        <v>1.6999999999999999E-3</v>
      </c>
      <c r="M79" s="21">
        <v>-2.3E-3</v>
      </c>
      <c r="N79" s="21">
        <v>-2.96E-3</v>
      </c>
      <c r="O79" s="21">
        <v>-2.97E-3</v>
      </c>
      <c r="P79" s="21">
        <v>-8.2900000000000005E-3</v>
      </c>
      <c r="Q79" s="21">
        <v>-8.5400000000000007E-3</v>
      </c>
      <c r="R79" s="60">
        <v>-2.2899999999999999E-3</v>
      </c>
      <c r="S79" s="18"/>
      <c r="T79" s="150">
        <v>1</v>
      </c>
      <c r="U79" s="129">
        <f t="shared" si="1"/>
        <v>76</v>
      </c>
      <c r="V79" s="128" t="s">
        <v>134</v>
      </c>
      <c r="W79" s="130" t="s">
        <v>135</v>
      </c>
      <c r="X79" s="146"/>
      <c r="Y79" s="146"/>
    </row>
    <row r="80" spans="1:25" s="14" customFormat="1" ht="12.75" customHeight="1">
      <c r="A80" s="63" t="s">
        <v>95</v>
      </c>
      <c r="B80" s="38">
        <v>1</v>
      </c>
      <c r="C80" s="22"/>
      <c r="D80" s="34"/>
      <c r="E80" s="21">
        <v>1.18E-2</v>
      </c>
      <c r="F80" s="21">
        <v>3.3999999999999998E-3</v>
      </c>
      <c r="G80" s="21">
        <v>4.0400000000000002E-3</v>
      </c>
      <c r="H80" s="21">
        <v>1.4300000000000001E-3</v>
      </c>
      <c r="I80" s="21">
        <v>1.6299999999999999E-3</v>
      </c>
      <c r="J80" s="21">
        <v>6.1799999999999997E-3</v>
      </c>
      <c r="K80" s="21">
        <v>1.7899999999999999E-3</v>
      </c>
      <c r="L80" s="21">
        <v>8.3000000000000001E-3</v>
      </c>
      <c r="M80" s="21">
        <v>2.3E-3</v>
      </c>
      <c r="N80" s="21">
        <v>2.96E-3</v>
      </c>
      <c r="O80" s="21">
        <v>2.97E-3</v>
      </c>
      <c r="P80" s="21">
        <v>8.2900000000000005E-3</v>
      </c>
      <c r="Q80" s="21">
        <v>8.5400000000000007E-3</v>
      </c>
      <c r="R80" s="60">
        <v>2.2899999999999999E-3</v>
      </c>
      <c r="S80" s="18"/>
      <c r="T80" s="150"/>
      <c r="U80" s="124">
        <f t="shared" si="1"/>
        <v>77</v>
      </c>
      <c r="V80" s="131" t="s">
        <v>92</v>
      </c>
      <c r="W80" s="130" t="s">
        <v>146</v>
      </c>
      <c r="X80" s="146"/>
      <c r="Y80" s="146"/>
    </row>
    <row r="81" spans="1:25" s="14" customFormat="1" ht="12.75" customHeight="1">
      <c r="A81" s="230" t="s">
        <v>49</v>
      </c>
      <c r="B81" s="38">
        <v>1</v>
      </c>
      <c r="C81" s="22"/>
      <c r="D81" s="34"/>
      <c r="E81" s="21">
        <v>0.01</v>
      </c>
      <c r="F81" s="21">
        <v>0</v>
      </c>
      <c r="G81" s="21">
        <v>0</v>
      </c>
      <c r="H81" s="21">
        <v>0</v>
      </c>
      <c r="I81" s="21">
        <v>0</v>
      </c>
      <c r="J81" s="21">
        <v>0</v>
      </c>
      <c r="K81" s="21">
        <v>0</v>
      </c>
      <c r="L81" s="21">
        <v>0</v>
      </c>
      <c r="M81" s="21">
        <v>0</v>
      </c>
      <c r="N81" s="21">
        <v>0</v>
      </c>
      <c r="O81" s="21">
        <v>0</v>
      </c>
      <c r="P81" s="21">
        <v>0</v>
      </c>
      <c r="Q81" s="21">
        <v>0</v>
      </c>
      <c r="R81" s="60">
        <v>0</v>
      </c>
      <c r="S81" s="18"/>
      <c r="T81" s="150">
        <v>1</v>
      </c>
      <c r="U81" s="129">
        <f t="shared" si="1"/>
        <v>78</v>
      </c>
      <c r="V81" s="128" t="s">
        <v>93</v>
      </c>
      <c r="W81" s="124"/>
      <c r="X81" s="146"/>
      <c r="Y81" s="146"/>
    </row>
    <row r="82" spans="1:25" s="14" customFormat="1" ht="12.75" customHeight="1">
      <c r="A82" s="230" t="s">
        <v>50</v>
      </c>
      <c r="B82" s="38">
        <v>1</v>
      </c>
      <c r="C82" s="22"/>
      <c r="D82" s="34"/>
      <c r="E82" s="21">
        <v>0</v>
      </c>
      <c r="F82" s="21">
        <v>0</v>
      </c>
      <c r="G82" s="21">
        <v>0.01</v>
      </c>
      <c r="H82" s="21">
        <v>0</v>
      </c>
      <c r="I82" s="21">
        <v>0</v>
      </c>
      <c r="J82" s="21">
        <v>0</v>
      </c>
      <c r="K82" s="21">
        <v>0</v>
      </c>
      <c r="L82" s="21">
        <v>0</v>
      </c>
      <c r="M82" s="21">
        <v>0</v>
      </c>
      <c r="N82" s="21">
        <v>0</v>
      </c>
      <c r="O82" s="21">
        <v>0</v>
      </c>
      <c r="P82" s="21">
        <v>0</v>
      </c>
      <c r="Q82" s="21">
        <v>0</v>
      </c>
      <c r="R82" s="60">
        <v>0</v>
      </c>
      <c r="S82" s="18"/>
      <c r="T82" s="150">
        <v>1</v>
      </c>
      <c r="U82" s="129">
        <f t="shared" si="1"/>
        <v>79</v>
      </c>
      <c r="V82" s="128" t="s">
        <v>89</v>
      </c>
      <c r="W82" s="229"/>
      <c r="X82" s="146"/>
      <c r="Y82" s="146"/>
    </row>
    <row r="83" spans="1:25" s="14" customFormat="1" ht="12.75" customHeight="1">
      <c r="A83" s="230" t="s">
        <v>51</v>
      </c>
      <c r="B83" s="38">
        <v>1</v>
      </c>
      <c r="C83" s="22"/>
      <c r="D83" s="34"/>
      <c r="E83" s="21">
        <v>0</v>
      </c>
      <c r="F83" s="21">
        <v>0</v>
      </c>
      <c r="G83" s="21">
        <v>0</v>
      </c>
      <c r="H83" s="21">
        <v>0.01</v>
      </c>
      <c r="I83" s="21">
        <v>0</v>
      </c>
      <c r="J83" s="21">
        <v>0</v>
      </c>
      <c r="K83" s="21">
        <v>0</v>
      </c>
      <c r="L83" s="21">
        <v>0</v>
      </c>
      <c r="M83" s="21">
        <v>0</v>
      </c>
      <c r="N83" s="21">
        <v>0</v>
      </c>
      <c r="O83" s="21">
        <v>0</v>
      </c>
      <c r="P83" s="21">
        <v>0</v>
      </c>
      <c r="Q83" s="21">
        <v>0</v>
      </c>
      <c r="R83" s="60">
        <v>0</v>
      </c>
      <c r="S83" s="18"/>
      <c r="T83" s="150">
        <v>1</v>
      </c>
      <c r="U83" s="129">
        <f t="shared" si="1"/>
        <v>80</v>
      </c>
      <c r="V83" s="128" t="s">
        <v>94</v>
      </c>
      <c r="W83" s="124" t="s">
        <v>200</v>
      </c>
      <c r="X83" s="146"/>
      <c r="Y83" s="146"/>
    </row>
    <row r="84" spans="1:25" s="14" customFormat="1" ht="12.75" customHeight="1">
      <c r="A84" s="230" t="s">
        <v>52</v>
      </c>
      <c r="B84" s="38">
        <v>1</v>
      </c>
      <c r="C84" s="22"/>
      <c r="D84" s="34"/>
      <c r="E84" s="21">
        <v>0</v>
      </c>
      <c r="F84" s="21">
        <v>0</v>
      </c>
      <c r="G84" s="21">
        <v>0</v>
      </c>
      <c r="H84" s="21">
        <v>0</v>
      </c>
      <c r="I84" s="21">
        <v>0.01</v>
      </c>
      <c r="J84" s="21">
        <v>0</v>
      </c>
      <c r="K84" s="21">
        <v>0</v>
      </c>
      <c r="L84" s="21">
        <v>0</v>
      </c>
      <c r="M84" s="21">
        <v>0</v>
      </c>
      <c r="N84" s="21">
        <v>0</v>
      </c>
      <c r="O84" s="21">
        <v>0</v>
      </c>
      <c r="P84" s="21">
        <v>0</v>
      </c>
      <c r="Q84" s="21">
        <v>0</v>
      </c>
      <c r="R84" s="60">
        <v>0</v>
      </c>
      <c r="S84" s="18"/>
      <c r="T84" s="150">
        <v>1</v>
      </c>
      <c r="U84" s="129">
        <f t="shared" si="1"/>
        <v>81</v>
      </c>
      <c r="V84" s="131" t="s">
        <v>95</v>
      </c>
      <c r="W84" s="130" t="s">
        <v>198</v>
      </c>
      <c r="X84" s="146"/>
      <c r="Y84" s="146"/>
    </row>
    <row r="85" spans="1:25" s="14" customFormat="1" ht="12.75" customHeight="1">
      <c r="A85" s="230" t="s">
        <v>53</v>
      </c>
      <c r="B85" s="38">
        <v>1</v>
      </c>
      <c r="C85" s="22"/>
      <c r="D85" s="34"/>
      <c r="E85" s="21">
        <v>0</v>
      </c>
      <c r="F85" s="21">
        <v>0</v>
      </c>
      <c r="G85" s="21">
        <v>0</v>
      </c>
      <c r="H85" s="21">
        <v>0</v>
      </c>
      <c r="I85" s="21">
        <v>0</v>
      </c>
      <c r="J85" s="21">
        <v>0.01</v>
      </c>
      <c r="K85" s="21">
        <v>0</v>
      </c>
      <c r="L85" s="21">
        <v>0</v>
      </c>
      <c r="M85" s="21">
        <v>0</v>
      </c>
      <c r="N85" s="21">
        <v>0</v>
      </c>
      <c r="O85" s="21">
        <v>0</v>
      </c>
      <c r="P85" s="21">
        <v>0</v>
      </c>
      <c r="Q85" s="21">
        <v>0</v>
      </c>
      <c r="R85" s="60">
        <v>0</v>
      </c>
      <c r="S85" s="18"/>
      <c r="T85" s="150">
        <v>1</v>
      </c>
      <c r="U85" s="129">
        <f t="shared" si="1"/>
        <v>82</v>
      </c>
      <c r="V85" s="128" t="s">
        <v>49</v>
      </c>
      <c r="W85" s="229"/>
      <c r="X85" s="146"/>
      <c r="Y85" s="146"/>
    </row>
    <row r="86" spans="1:25" s="14" customFormat="1" ht="12.75" customHeight="1">
      <c r="A86" s="230" t="s">
        <v>54</v>
      </c>
      <c r="B86" s="38">
        <v>1</v>
      </c>
      <c r="C86" s="22"/>
      <c r="D86" s="34"/>
      <c r="E86" s="21">
        <v>0</v>
      </c>
      <c r="F86" s="21">
        <v>0</v>
      </c>
      <c r="G86" s="21">
        <v>0</v>
      </c>
      <c r="H86" s="21">
        <v>0</v>
      </c>
      <c r="I86" s="21">
        <v>0</v>
      </c>
      <c r="J86" s="21">
        <v>0</v>
      </c>
      <c r="K86" s="21">
        <v>0.01</v>
      </c>
      <c r="L86" s="21">
        <v>0</v>
      </c>
      <c r="M86" s="21">
        <v>0</v>
      </c>
      <c r="N86" s="21">
        <v>0</v>
      </c>
      <c r="O86" s="21">
        <v>0</v>
      </c>
      <c r="P86" s="21">
        <v>0</v>
      </c>
      <c r="Q86" s="21">
        <v>0</v>
      </c>
      <c r="R86" s="60">
        <v>0</v>
      </c>
      <c r="S86" s="18"/>
      <c r="T86" s="150">
        <v>1</v>
      </c>
      <c r="U86" s="129">
        <f t="shared" si="1"/>
        <v>83</v>
      </c>
      <c r="V86" s="128" t="s">
        <v>50</v>
      </c>
      <c r="W86" s="229"/>
      <c r="X86" s="146"/>
      <c r="Y86" s="146"/>
    </row>
    <row r="87" spans="1:25" s="14" customFormat="1" ht="12.75" customHeight="1">
      <c r="A87" s="230" t="s">
        <v>55</v>
      </c>
      <c r="B87" s="38">
        <v>1</v>
      </c>
      <c r="C87" s="22"/>
      <c r="D87" s="34"/>
      <c r="E87" s="21">
        <v>0</v>
      </c>
      <c r="F87" s="21">
        <v>0</v>
      </c>
      <c r="G87" s="21">
        <v>0</v>
      </c>
      <c r="H87" s="21">
        <v>0</v>
      </c>
      <c r="I87" s="21">
        <v>0</v>
      </c>
      <c r="J87" s="21">
        <v>0</v>
      </c>
      <c r="K87" s="21">
        <v>0</v>
      </c>
      <c r="L87" s="21">
        <v>0</v>
      </c>
      <c r="M87" s="21">
        <v>0.01</v>
      </c>
      <c r="N87" s="21">
        <v>0</v>
      </c>
      <c r="O87" s="21">
        <v>0</v>
      </c>
      <c r="P87" s="21">
        <v>0</v>
      </c>
      <c r="Q87" s="21">
        <v>0</v>
      </c>
      <c r="R87" s="60">
        <v>0</v>
      </c>
      <c r="S87" s="18"/>
      <c r="T87" s="150">
        <v>1</v>
      </c>
      <c r="U87" s="129">
        <f t="shared" si="1"/>
        <v>84</v>
      </c>
      <c r="V87" s="128" t="s">
        <v>51</v>
      </c>
      <c r="W87" s="229"/>
      <c r="X87" s="146"/>
      <c r="Y87" s="146"/>
    </row>
    <row r="88" spans="1:25" s="14" customFormat="1" ht="12.75" customHeight="1">
      <c r="A88" s="63" t="s">
        <v>56</v>
      </c>
      <c r="B88" s="38">
        <v>1</v>
      </c>
      <c r="C88" s="22"/>
      <c r="D88" s="34"/>
      <c r="E88" s="21">
        <v>0</v>
      </c>
      <c r="F88" s="21">
        <v>0</v>
      </c>
      <c r="G88" s="21">
        <v>0</v>
      </c>
      <c r="H88" s="21">
        <v>0</v>
      </c>
      <c r="I88" s="21">
        <v>0</v>
      </c>
      <c r="J88" s="21">
        <v>0</v>
      </c>
      <c r="K88" s="21">
        <v>0</v>
      </c>
      <c r="L88" s="21">
        <v>0</v>
      </c>
      <c r="M88" s="21">
        <v>0</v>
      </c>
      <c r="N88" s="21">
        <v>0.01</v>
      </c>
      <c r="O88" s="21">
        <v>0</v>
      </c>
      <c r="P88" s="21">
        <v>0</v>
      </c>
      <c r="Q88" s="21">
        <v>0</v>
      </c>
      <c r="R88" s="60">
        <v>0</v>
      </c>
      <c r="S88" s="18"/>
      <c r="T88" s="150"/>
      <c r="U88" s="124">
        <f t="shared" si="1"/>
        <v>85</v>
      </c>
      <c r="V88" s="128" t="s">
        <v>52</v>
      </c>
      <c r="W88" s="229"/>
      <c r="X88" s="146"/>
      <c r="Y88" s="146"/>
    </row>
    <row r="89" spans="1:25" s="14" customFormat="1" ht="12.75" customHeight="1">
      <c r="A89" s="63" t="s">
        <v>57</v>
      </c>
      <c r="B89" s="38">
        <v>1</v>
      </c>
      <c r="C89" s="22"/>
      <c r="D89" s="34"/>
      <c r="E89" s="21">
        <v>0</v>
      </c>
      <c r="F89" s="21">
        <v>0</v>
      </c>
      <c r="G89" s="21">
        <v>0</v>
      </c>
      <c r="H89" s="21">
        <v>0</v>
      </c>
      <c r="I89" s="21">
        <v>0</v>
      </c>
      <c r="J89" s="21">
        <v>0</v>
      </c>
      <c r="K89" s="21">
        <v>0</v>
      </c>
      <c r="L89" s="21">
        <v>0</v>
      </c>
      <c r="M89" s="21">
        <v>0</v>
      </c>
      <c r="N89" s="21">
        <v>0</v>
      </c>
      <c r="O89" s="21">
        <v>0.01</v>
      </c>
      <c r="P89" s="21">
        <v>0</v>
      </c>
      <c r="Q89" s="21">
        <v>0</v>
      </c>
      <c r="R89" s="60">
        <v>0</v>
      </c>
      <c r="S89" s="18"/>
      <c r="T89" s="150"/>
      <c r="U89" s="124">
        <f t="shared" si="1"/>
        <v>86</v>
      </c>
      <c r="V89" s="128" t="s">
        <v>53</v>
      </c>
      <c r="W89" s="229"/>
      <c r="X89" s="146"/>
      <c r="Y89" s="146"/>
    </row>
    <row r="90" spans="1:25" s="14" customFormat="1" ht="12.75" customHeight="1">
      <c r="A90" s="63" t="s">
        <v>58</v>
      </c>
      <c r="B90" s="38">
        <v>1</v>
      </c>
      <c r="C90" s="22"/>
      <c r="D90" s="34"/>
      <c r="E90" s="21">
        <v>0</v>
      </c>
      <c r="F90" s="21">
        <v>0</v>
      </c>
      <c r="G90" s="21">
        <v>0</v>
      </c>
      <c r="H90" s="21">
        <v>0</v>
      </c>
      <c r="I90" s="21">
        <v>0</v>
      </c>
      <c r="J90" s="21">
        <v>0</v>
      </c>
      <c r="K90" s="21">
        <v>0</v>
      </c>
      <c r="L90" s="21">
        <v>0</v>
      </c>
      <c r="M90" s="21">
        <v>0</v>
      </c>
      <c r="N90" s="21">
        <v>0</v>
      </c>
      <c r="O90" s="21">
        <v>0</v>
      </c>
      <c r="P90" s="21">
        <v>0.01</v>
      </c>
      <c r="Q90" s="21">
        <v>0</v>
      </c>
      <c r="R90" s="60">
        <v>0</v>
      </c>
      <c r="S90" s="18"/>
      <c r="T90" s="150"/>
      <c r="U90" s="124">
        <f t="shared" si="1"/>
        <v>87</v>
      </c>
      <c r="V90" s="128" t="s">
        <v>54</v>
      </c>
      <c r="W90" s="229"/>
      <c r="X90" s="146"/>
      <c r="Y90" s="146"/>
    </row>
    <row r="91" spans="1:25" s="14" customFormat="1" ht="12.75" customHeight="1">
      <c r="A91" s="63" t="s">
        <v>59</v>
      </c>
      <c r="B91" s="38">
        <v>1</v>
      </c>
      <c r="C91" s="22"/>
      <c r="D91" s="34"/>
      <c r="E91" s="21">
        <v>0</v>
      </c>
      <c r="F91" s="21">
        <v>0</v>
      </c>
      <c r="G91" s="21">
        <v>0</v>
      </c>
      <c r="H91" s="21">
        <v>0</v>
      </c>
      <c r="I91" s="21">
        <v>0</v>
      </c>
      <c r="J91" s="21">
        <v>0</v>
      </c>
      <c r="K91" s="21">
        <v>0</v>
      </c>
      <c r="L91" s="21">
        <v>0</v>
      </c>
      <c r="M91" s="21">
        <v>0</v>
      </c>
      <c r="N91" s="21">
        <v>0</v>
      </c>
      <c r="O91" s="21">
        <v>0</v>
      </c>
      <c r="P91" s="21">
        <v>0</v>
      </c>
      <c r="Q91" s="21">
        <v>0.01</v>
      </c>
      <c r="R91" s="60">
        <v>0</v>
      </c>
      <c r="S91" s="18"/>
      <c r="T91" s="150"/>
      <c r="U91" s="124">
        <f t="shared" si="1"/>
        <v>88</v>
      </c>
      <c r="V91" s="128" t="s">
        <v>55</v>
      </c>
      <c r="W91" s="229"/>
      <c r="X91" s="146"/>
      <c r="Y91" s="146"/>
    </row>
    <row r="92" spans="1:25" s="14" customFormat="1" ht="12.75" customHeight="1" thickBot="1">
      <c r="A92" s="65" t="s">
        <v>60</v>
      </c>
      <c r="B92" s="54">
        <v>1</v>
      </c>
      <c r="C92" s="45"/>
      <c r="D92" s="55"/>
      <c r="E92" s="59">
        <v>0</v>
      </c>
      <c r="F92" s="59">
        <v>0</v>
      </c>
      <c r="G92" s="59">
        <v>0</v>
      </c>
      <c r="H92" s="59">
        <v>0</v>
      </c>
      <c r="I92" s="59">
        <v>0</v>
      </c>
      <c r="J92" s="59">
        <v>0</v>
      </c>
      <c r="K92" s="59">
        <v>0</v>
      </c>
      <c r="L92" s="59">
        <v>0</v>
      </c>
      <c r="M92" s="59">
        <v>0</v>
      </c>
      <c r="N92" s="59">
        <v>0</v>
      </c>
      <c r="O92" s="59">
        <v>0</v>
      </c>
      <c r="P92" s="59">
        <v>0</v>
      </c>
      <c r="Q92" s="59">
        <v>0</v>
      </c>
      <c r="R92" s="61">
        <v>0.01</v>
      </c>
      <c r="S92" s="18"/>
      <c r="T92" s="150"/>
      <c r="U92" s="124">
        <f t="shared" si="1"/>
        <v>89</v>
      </c>
      <c r="V92" s="131" t="s">
        <v>56</v>
      </c>
      <c r="W92" s="130" t="s">
        <v>145</v>
      </c>
      <c r="X92" s="146"/>
      <c r="Y92" s="146"/>
    </row>
    <row r="93" spans="1:25" s="106" customFormat="1" ht="12.75" customHeight="1" thickBot="1">
      <c r="A93" s="235" t="s">
        <v>196</v>
      </c>
      <c r="B93" s="114">
        <v>1</v>
      </c>
      <c r="C93" s="113"/>
      <c r="D93" s="115"/>
      <c r="E93" s="116">
        <v>3.4402903724825005E-3</v>
      </c>
      <c r="F93" s="116">
        <v>6.0620891575807875E-3</v>
      </c>
      <c r="G93" s="116">
        <v>-5.1314379025505636E-4</v>
      </c>
      <c r="H93" s="116">
        <v>-5.392115086572442E-4</v>
      </c>
      <c r="I93" s="116">
        <v>2.3195969200328552E-3</v>
      </c>
      <c r="J93" s="116">
        <v>5.805574865241179E-3</v>
      </c>
      <c r="K93" s="116">
        <v>1.638579158493649E-3</v>
      </c>
      <c r="L93" s="116">
        <v>-2.5144874058006541E-3</v>
      </c>
      <c r="M93" s="116">
        <v>1.6639091435754613E-3</v>
      </c>
      <c r="N93" s="116">
        <v>0</v>
      </c>
      <c r="O93" s="116">
        <v>0</v>
      </c>
      <c r="P93" s="116">
        <v>0</v>
      </c>
      <c r="Q93" s="116">
        <v>0</v>
      </c>
      <c r="R93" s="117">
        <v>0</v>
      </c>
      <c r="S93" s="107"/>
      <c r="T93" s="150">
        <v>1</v>
      </c>
      <c r="U93" s="129">
        <f t="shared" si="1"/>
        <v>90</v>
      </c>
      <c r="V93" s="131" t="s">
        <v>57</v>
      </c>
      <c r="W93" s="130" t="s">
        <v>145</v>
      </c>
      <c r="X93" s="146"/>
      <c r="Y93" s="146"/>
    </row>
    <row r="94" spans="1:25" s="14" customFormat="1" ht="12.75" customHeight="1" thickBot="1">
      <c r="A94" s="19"/>
      <c r="B94" s="39"/>
      <c r="C94" s="19"/>
      <c r="D94" s="19"/>
      <c r="E94" s="18"/>
      <c r="F94" s="18"/>
      <c r="G94" s="18"/>
      <c r="H94" s="18"/>
      <c r="I94" s="18"/>
      <c r="J94" s="18"/>
      <c r="K94" s="18"/>
      <c r="L94" s="18"/>
      <c r="M94" s="18"/>
      <c r="N94" s="18"/>
      <c r="O94" s="18"/>
      <c r="P94" s="18"/>
      <c r="Q94" s="18"/>
      <c r="R94" s="18"/>
      <c r="S94" s="18"/>
      <c r="T94" s="150"/>
      <c r="U94" s="124"/>
      <c r="V94" s="131" t="s">
        <v>58</v>
      </c>
      <c r="W94" s="130" t="s">
        <v>145</v>
      </c>
      <c r="X94" s="146"/>
      <c r="Y94" s="146"/>
    </row>
    <row r="95" spans="1:25" s="14" customFormat="1" ht="12.75" customHeight="1">
      <c r="A95" s="64" t="s">
        <v>107</v>
      </c>
      <c r="B95" s="40"/>
      <c r="C95" s="25"/>
      <c r="D95" s="25"/>
      <c r="E95" s="35"/>
      <c r="F95" s="36"/>
      <c r="G95" s="36"/>
      <c r="H95" s="36"/>
      <c r="I95" s="36"/>
      <c r="J95" s="36"/>
      <c r="K95" s="36"/>
      <c r="L95" s="36"/>
      <c r="M95" s="36"/>
      <c r="N95" s="36"/>
      <c r="O95" s="36"/>
      <c r="P95" s="36"/>
      <c r="Q95" s="36"/>
      <c r="R95" s="37"/>
      <c r="S95" s="18"/>
      <c r="T95" s="150"/>
      <c r="U95" s="124"/>
      <c r="V95" s="131" t="s">
        <v>59</v>
      </c>
      <c r="W95" s="130" t="s">
        <v>145</v>
      </c>
      <c r="X95" s="146"/>
      <c r="Y95" s="146"/>
    </row>
    <row r="96" spans="1:25" s="14" customFormat="1" ht="12.75" customHeight="1">
      <c r="A96" s="63" t="s">
        <v>108</v>
      </c>
      <c r="B96" s="4"/>
      <c r="C96" s="19"/>
      <c r="D96" s="19"/>
      <c r="E96" s="41">
        <v>1E-3</v>
      </c>
      <c r="F96" s="42">
        <v>1E-3</v>
      </c>
      <c r="G96" s="42">
        <v>1E-3</v>
      </c>
      <c r="H96" s="42">
        <v>1E-3</v>
      </c>
      <c r="I96" s="42">
        <v>1E-3</v>
      </c>
      <c r="J96" s="42">
        <v>1E-3</v>
      </c>
      <c r="K96" s="42">
        <v>1E-3</v>
      </c>
      <c r="L96" s="42">
        <v>1E-3</v>
      </c>
      <c r="M96" s="42">
        <v>1E-3</v>
      </c>
      <c r="N96" s="42">
        <v>1E-3</v>
      </c>
      <c r="O96" s="42">
        <v>1E-3</v>
      </c>
      <c r="P96" s="42">
        <v>1E-3</v>
      </c>
      <c r="Q96" s="42">
        <v>1E-3</v>
      </c>
      <c r="R96" s="43">
        <v>1E-3</v>
      </c>
      <c r="S96" s="18"/>
      <c r="T96" s="150"/>
      <c r="U96" s="124"/>
      <c r="V96" s="131" t="s">
        <v>60</v>
      </c>
      <c r="W96" s="130" t="s">
        <v>145</v>
      </c>
      <c r="X96" s="146"/>
      <c r="Y96" s="146"/>
    </row>
    <row r="97" spans="1:25" s="14" customFormat="1" ht="12.75" customHeight="1" thickBot="1">
      <c r="A97" s="65" t="s">
        <v>109</v>
      </c>
      <c r="B97" s="5"/>
      <c r="C97" s="27"/>
      <c r="D97" s="27"/>
      <c r="E97" s="30"/>
      <c r="F97" s="28"/>
      <c r="G97" s="28"/>
      <c r="H97" s="28"/>
      <c r="I97" s="28"/>
      <c r="J97" s="28"/>
      <c r="K97" s="28"/>
      <c r="L97" s="28"/>
      <c r="M97" s="28"/>
      <c r="N97" s="28"/>
      <c r="O97" s="28"/>
      <c r="P97" s="28"/>
      <c r="Q97" s="28"/>
      <c r="R97" s="29"/>
      <c r="S97" s="18"/>
      <c r="T97" s="150"/>
      <c r="U97" s="124"/>
      <c r="V97" s="223" t="s">
        <v>196</v>
      </c>
      <c r="W97" s="146"/>
      <c r="X97" s="146"/>
      <c r="Y97" s="146"/>
    </row>
    <row r="98" spans="1:25" s="14" customFormat="1" ht="12.75" customHeight="1" thickBot="1">
      <c r="A98" s="19"/>
      <c r="B98" s="18"/>
      <c r="C98" s="19"/>
      <c r="D98" s="19"/>
      <c r="E98" s="31" t="s">
        <v>85</v>
      </c>
      <c r="F98" s="32" t="s">
        <v>89</v>
      </c>
      <c r="G98" s="32" t="s">
        <v>86</v>
      </c>
      <c r="H98" s="32" t="s">
        <v>87</v>
      </c>
      <c r="I98" s="32" t="s">
        <v>88</v>
      </c>
      <c r="J98" s="32" t="s">
        <v>96</v>
      </c>
      <c r="K98" s="32" t="s">
        <v>97</v>
      </c>
      <c r="L98" s="32" t="s">
        <v>94</v>
      </c>
      <c r="M98" s="32" t="s">
        <v>98</v>
      </c>
      <c r="N98" s="32" t="s">
        <v>101</v>
      </c>
      <c r="O98" s="32" t="s">
        <v>90</v>
      </c>
      <c r="P98" s="32" t="s">
        <v>99</v>
      </c>
      <c r="Q98" s="32" t="s">
        <v>100</v>
      </c>
      <c r="R98" s="33" t="s">
        <v>102</v>
      </c>
      <c r="S98" s="18"/>
      <c r="T98" s="150"/>
      <c r="U98" s="146"/>
      <c r="V98" s="146"/>
      <c r="W98" s="146"/>
      <c r="X98" s="146"/>
      <c r="Y98" s="146"/>
    </row>
    <row r="99" spans="1:25" s="14" customFormat="1" ht="12.75" customHeight="1">
      <c r="A99" s="19"/>
      <c r="B99" s="18"/>
      <c r="C99" s="19"/>
      <c r="D99" s="19"/>
      <c r="E99" s="18"/>
      <c r="F99" s="18"/>
      <c r="G99" s="18"/>
      <c r="H99" s="18"/>
      <c r="I99" s="18"/>
      <c r="J99" s="18"/>
      <c r="K99" s="18"/>
      <c r="L99" s="18"/>
      <c r="M99" s="18"/>
      <c r="N99" s="18"/>
      <c r="O99" s="18"/>
      <c r="P99" s="18"/>
      <c r="Q99" s="18"/>
      <c r="R99" s="18"/>
      <c r="S99" s="18"/>
      <c r="T99" s="150"/>
      <c r="U99" s="146"/>
      <c r="V99" s="146"/>
      <c r="W99" s="146"/>
      <c r="X99" s="146"/>
    </row>
    <row r="100" spans="1:25" s="14" customFormat="1" ht="12.75" customHeight="1">
      <c r="A100" s="19"/>
      <c r="B100" s="18"/>
      <c r="C100" s="19"/>
      <c r="D100" s="19"/>
      <c r="E100" s="18"/>
      <c r="F100" s="18"/>
      <c r="G100" s="18"/>
      <c r="H100" s="18"/>
      <c r="I100" s="18"/>
      <c r="J100" s="18"/>
      <c r="K100" s="18"/>
      <c r="L100" s="18"/>
      <c r="M100" s="18"/>
      <c r="N100" s="18"/>
      <c r="O100" s="18"/>
      <c r="P100" s="18"/>
      <c r="Q100" s="18"/>
      <c r="R100" s="18"/>
      <c r="S100" s="18"/>
      <c r="T100" s="150"/>
      <c r="U100" s="146"/>
      <c r="V100" s="146"/>
      <c r="W100" s="146"/>
      <c r="X100" s="146"/>
    </row>
    <row r="101" spans="1:25" s="14" customFormat="1" ht="12.75" customHeight="1">
      <c r="B101" s="13"/>
      <c r="E101" s="13"/>
      <c r="F101" s="13"/>
      <c r="G101" s="13"/>
      <c r="H101" s="13"/>
      <c r="I101" s="13"/>
      <c r="J101" s="13"/>
      <c r="K101" s="13"/>
      <c r="L101" s="13"/>
      <c r="M101" s="13"/>
      <c r="N101" s="13"/>
      <c r="O101" s="13"/>
      <c r="P101" s="13"/>
      <c r="Q101" s="13"/>
      <c r="R101" s="13"/>
      <c r="S101" s="13"/>
      <c r="T101" s="145"/>
      <c r="U101" s="146"/>
      <c r="V101" s="146"/>
      <c r="W101" s="146"/>
      <c r="X101" s="146"/>
    </row>
    <row r="102" spans="1:25" s="14" customFormat="1" ht="12.75" customHeight="1">
      <c r="B102" s="13"/>
      <c r="E102" s="13"/>
      <c r="F102" s="13"/>
      <c r="G102" s="13"/>
      <c r="H102" s="13"/>
      <c r="I102" s="13"/>
      <c r="J102" s="13"/>
      <c r="K102" s="13"/>
      <c r="L102" s="13"/>
      <c r="M102" s="13"/>
      <c r="N102" s="13"/>
      <c r="O102" s="13"/>
      <c r="P102" s="13"/>
      <c r="Q102" s="13"/>
      <c r="R102" s="13"/>
      <c r="S102" s="13"/>
      <c r="T102" s="145"/>
      <c r="U102" s="146"/>
      <c r="V102" s="146"/>
      <c r="W102" s="146"/>
      <c r="X102" s="146"/>
    </row>
    <row r="103" spans="1:25" s="11" customFormat="1" ht="12.75">
      <c r="B103" s="10"/>
      <c r="E103" s="10"/>
      <c r="F103" s="10"/>
      <c r="G103" s="10"/>
      <c r="H103" s="10"/>
      <c r="I103" s="10"/>
      <c r="J103" s="10"/>
      <c r="K103" s="10"/>
      <c r="L103" s="10"/>
      <c r="M103" s="10"/>
      <c r="N103" s="10"/>
      <c r="O103" s="10"/>
      <c r="P103" s="10"/>
      <c r="Q103" s="10"/>
      <c r="R103" s="10"/>
      <c r="S103" s="10"/>
      <c r="T103" s="143"/>
      <c r="U103" s="146"/>
      <c r="V103" s="146"/>
      <c r="W103" s="146"/>
      <c r="X103" s="144"/>
    </row>
    <row r="104" spans="1:25" s="11" customFormat="1" ht="12.75">
      <c r="B104" s="10"/>
      <c r="E104" s="10"/>
      <c r="F104" s="10"/>
      <c r="G104" s="10"/>
      <c r="H104" s="10"/>
      <c r="I104" s="10"/>
      <c r="J104" s="10"/>
      <c r="K104" s="10"/>
      <c r="L104" s="10"/>
      <c r="M104" s="10"/>
      <c r="N104" s="10"/>
      <c r="O104" s="10"/>
      <c r="P104" s="10"/>
      <c r="Q104" s="10"/>
      <c r="R104" s="10"/>
      <c r="S104" s="10"/>
      <c r="T104" s="143"/>
      <c r="U104" s="146"/>
      <c r="V104" s="146"/>
      <c r="W104" s="146"/>
      <c r="X104" s="144"/>
    </row>
    <row r="105" spans="1:25" s="11" customFormat="1" ht="12.75">
      <c r="B105" s="10"/>
      <c r="E105" s="10"/>
      <c r="F105" s="10"/>
      <c r="G105" s="10"/>
      <c r="H105" s="10"/>
      <c r="I105" s="10"/>
      <c r="J105" s="10"/>
      <c r="K105" s="10"/>
      <c r="L105" s="10"/>
      <c r="M105" s="10"/>
      <c r="N105" s="10"/>
      <c r="O105" s="10"/>
      <c r="P105" s="10"/>
      <c r="Q105" s="10"/>
      <c r="R105" s="10"/>
      <c r="S105" s="10"/>
      <c r="T105" s="143"/>
      <c r="U105" s="146"/>
      <c r="V105" s="146"/>
      <c r="W105" s="146"/>
      <c r="X105" s="144"/>
    </row>
    <row r="106" spans="1:25">
      <c r="U106" s="146"/>
      <c r="V106" s="146"/>
      <c r="W106" s="146"/>
      <c r="X106" s="137"/>
    </row>
    <row r="107" spans="1:25">
      <c r="B107" s="6"/>
      <c r="U107" s="144"/>
      <c r="V107" s="144"/>
      <c r="W107" s="144"/>
      <c r="X107" s="137"/>
    </row>
    <row r="108" spans="1:25">
      <c r="B108" s="6"/>
      <c r="U108" s="144"/>
      <c r="V108" s="144"/>
      <c r="W108" s="144"/>
      <c r="X108" s="137"/>
    </row>
    <row r="109" spans="1:25">
      <c r="B109" s="6"/>
      <c r="U109" s="144"/>
      <c r="V109" s="144"/>
      <c r="W109" s="144"/>
      <c r="X109" s="137"/>
    </row>
    <row r="110" spans="1:25">
      <c r="B110" s="6"/>
      <c r="X110" s="137"/>
    </row>
    <row r="111" spans="1:25">
      <c r="B111" s="6"/>
      <c r="X111" s="137"/>
    </row>
    <row r="112" spans="1:25">
      <c r="X112" s="137"/>
    </row>
    <row r="113" spans="24:24">
      <c r="X113" s="137"/>
    </row>
    <row r="114" spans="24:24">
      <c r="X114" s="137"/>
    </row>
    <row r="115" spans="24:24">
      <c r="X115" s="137"/>
    </row>
    <row r="116" spans="24:24">
      <c r="X116" s="137"/>
    </row>
    <row r="117" spans="24:24">
      <c r="X117" s="137"/>
    </row>
    <row r="118" spans="24:24">
      <c r="X118" s="137"/>
    </row>
    <row r="119" spans="24:24">
      <c r="X119" s="137"/>
    </row>
  </sheetData>
  <pageMargins left="0.7" right="0.7" top="0.75" bottom="0.75" header="0.3" footer="0.3"/>
  <pageSetup paperSize="9" orientation="portrait" r:id="rId1"/>
  <drawing r:id="rId2"/>
  <legacyDrawing r:id="rId3"/>
  <controls>
    <mc:AlternateContent xmlns:mc="http://schemas.openxmlformats.org/markup-compatibility/2006">
      <mc:Choice Requires="x14">
        <control shapeId="2055" r:id="rId4" name="VarErr1">
          <controlPr defaultSize="0" autoLine="0" r:id="rId5">
            <anchor moveWithCells="1">
              <from>
                <xdr:col>2</xdr:col>
                <xdr:colOff>247650</xdr:colOff>
                <xdr:row>3</xdr:row>
                <xdr:rowOff>19050</xdr:rowOff>
              </from>
              <to>
                <xdr:col>2</xdr:col>
                <xdr:colOff>409575</xdr:colOff>
                <xdr:row>3</xdr:row>
                <xdr:rowOff>142875</xdr:rowOff>
              </to>
            </anchor>
          </controlPr>
        </control>
      </mc:Choice>
      <mc:Fallback>
        <control shapeId="2055" r:id="rId4" name="VarErr1"/>
      </mc:Fallback>
    </mc:AlternateContent>
    <mc:AlternateContent xmlns:mc="http://schemas.openxmlformats.org/markup-compatibility/2006">
      <mc:Choice Requires="x14">
        <control shapeId="2056" r:id="rId6" name="VarErr2">
          <controlPr defaultSize="0" autoLine="0" r:id="rId5">
            <anchor moveWithCells="1">
              <from>
                <xdr:col>2</xdr:col>
                <xdr:colOff>247650</xdr:colOff>
                <xdr:row>4</xdr:row>
                <xdr:rowOff>19050</xdr:rowOff>
              </from>
              <to>
                <xdr:col>2</xdr:col>
                <xdr:colOff>409575</xdr:colOff>
                <xdr:row>4</xdr:row>
                <xdr:rowOff>142875</xdr:rowOff>
              </to>
            </anchor>
          </controlPr>
        </control>
      </mc:Choice>
      <mc:Fallback>
        <control shapeId="2056" r:id="rId6" name="VarErr2"/>
      </mc:Fallback>
    </mc:AlternateContent>
    <mc:AlternateContent xmlns:mc="http://schemas.openxmlformats.org/markup-compatibility/2006">
      <mc:Choice Requires="x14">
        <control shapeId="2057" r:id="rId7" name="VarErr3">
          <controlPr defaultSize="0" autoLine="0" r:id="rId5">
            <anchor moveWithCells="1">
              <from>
                <xdr:col>2</xdr:col>
                <xdr:colOff>247650</xdr:colOff>
                <xdr:row>5</xdr:row>
                <xdr:rowOff>19050</xdr:rowOff>
              </from>
              <to>
                <xdr:col>2</xdr:col>
                <xdr:colOff>409575</xdr:colOff>
                <xdr:row>5</xdr:row>
                <xdr:rowOff>142875</xdr:rowOff>
              </to>
            </anchor>
          </controlPr>
        </control>
      </mc:Choice>
      <mc:Fallback>
        <control shapeId="2057" r:id="rId7" name="VarErr3"/>
      </mc:Fallback>
    </mc:AlternateContent>
    <mc:AlternateContent xmlns:mc="http://schemas.openxmlformats.org/markup-compatibility/2006">
      <mc:Choice Requires="x14">
        <control shapeId="2058" r:id="rId8" name="VarErr4">
          <controlPr defaultSize="0" autoLine="0" r:id="rId5">
            <anchor moveWithCells="1">
              <from>
                <xdr:col>2</xdr:col>
                <xdr:colOff>247650</xdr:colOff>
                <xdr:row>6</xdr:row>
                <xdr:rowOff>19050</xdr:rowOff>
              </from>
              <to>
                <xdr:col>2</xdr:col>
                <xdr:colOff>409575</xdr:colOff>
                <xdr:row>6</xdr:row>
                <xdr:rowOff>142875</xdr:rowOff>
              </to>
            </anchor>
          </controlPr>
        </control>
      </mc:Choice>
      <mc:Fallback>
        <control shapeId="2058" r:id="rId8" name="VarErr4"/>
      </mc:Fallback>
    </mc:AlternateContent>
    <mc:AlternateContent xmlns:mc="http://schemas.openxmlformats.org/markup-compatibility/2006">
      <mc:Choice Requires="x14">
        <control shapeId="2059" r:id="rId9" name="VarErr5">
          <controlPr defaultSize="0" autoLine="0" r:id="rId5">
            <anchor moveWithCells="1">
              <from>
                <xdr:col>2</xdr:col>
                <xdr:colOff>247650</xdr:colOff>
                <xdr:row>7</xdr:row>
                <xdr:rowOff>19050</xdr:rowOff>
              </from>
              <to>
                <xdr:col>2</xdr:col>
                <xdr:colOff>409575</xdr:colOff>
                <xdr:row>7</xdr:row>
                <xdr:rowOff>142875</xdr:rowOff>
              </to>
            </anchor>
          </controlPr>
        </control>
      </mc:Choice>
      <mc:Fallback>
        <control shapeId="2059" r:id="rId9" name="VarErr5"/>
      </mc:Fallback>
    </mc:AlternateContent>
    <mc:AlternateContent xmlns:mc="http://schemas.openxmlformats.org/markup-compatibility/2006">
      <mc:Choice Requires="x14">
        <control shapeId="2060" r:id="rId10" name="VarErr6">
          <controlPr defaultSize="0" autoLine="0" r:id="rId5">
            <anchor moveWithCells="1">
              <from>
                <xdr:col>2</xdr:col>
                <xdr:colOff>247650</xdr:colOff>
                <xdr:row>8</xdr:row>
                <xdr:rowOff>19050</xdr:rowOff>
              </from>
              <to>
                <xdr:col>2</xdr:col>
                <xdr:colOff>409575</xdr:colOff>
                <xdr:row>8</xdr:row>
                <xdr:rowOff>142875</xdr:rowOff>
              </to>
            </anchor>
          </controlPr>
        </control>
      </mc:Choice>
      <mc:Fallback>
        <control shapeId="2060" r:id="rId10" name="VarErr6"/>
      </mc:Fallback>
    </mc:AlternateContent>
    <mc:AlternateContent xmlns:mc="http://schemas.openxmlformats.org/markup-compatibility/2006">
      <mc:Choice Requires="x14">
        <control shapeId="2061" r:id="rId11" name="VarErr7">
          <controlPr defaultSize="0" autoLine="0" r:id="rId5">
            <anchor moveWithCells="1">
              <from>
                <xdr:col>2</xdr:col>
                <xdr:colOff>247650</xdr:colOff>
                <xdr:row>9</xdr:row>
                <xdr:rowOff>19050</xdr:rowOff>
              </from>
              <to>
                <xdr:col>2</xdr:col>
                <xdr:colOff>409575</xdr:colOff>
                <xdr:row>9</xdr:row>
                <xdr:rowOff>142875</xdr:rowOff>
              </to>
            </anchor>
          </controlPr>
        </control>
      </mc:Choice>
      <mc:Fallback>
        <control shapeId="2061" r:id="rId11" name="VarErr7"/>
      </mc:Fallback>
    </mc:AlternateContent>
    <mc:AlternateContent xmlns:mc="http://schemas.openxmlformats.org/markup-compatibility/2006">
      <mc:Choice Requires="x14">
        <control shapeId="2062" r:id="rId12" name="VarErr8">
          <controlPr defaultSize="0" autoLine="0" r:id="rId5">
            <anchor moveWithCells="1">
              <from>
                <xdr:col>2</xdr:col>
                <xdr:colOff>247650</xdr:colOff>
                <xdr:row>10</xdr:row>
                <xdr:rowOff>19050</xdr:rowOff>
              </from>
              <to>
                <xdr:col>2</xdr:col>
                <xdr:colOff>409575</xdr:colOff>
                <xdr:row>10</xdr:row>
                <xdr:rowOff>142875</xdr:rowOff>
              </to>
            </anchor>
          </controlPr>
        </control>
      </mc:Choice>
      <mc:Fallback>
        <control shapeId="2062" r:id="rId12" name="VarErr8"/>
      </mc:Fallback>
    </mc:AlternateContent>
    <mc:AlternateContent xmlns:mc="http://schemas.openxmlformats.org/markup-compatibility/2006">
      <mc:Choice Requires="x14">
        <control shapeId="2063" r:id="rId13" name="VarErr9">
          <controlPr defaultSize="0" autoLine="0" r:id="rId5">
            <anchor moveWithCells="1">
              <from>
                <xdr:col>2</xdr:col>
                <xdr:colOff>247650</xdr:colOff>
                <xdr:row>11</xdr:row>
                <xdr:rowOff>19050</xdr:rowOff>
              </from>
              <to>
                <xdr:col>2</xdr:col>
                <xdr:colOff>409575</xdr:colOff>
                <xdr:row>11</xdr:row>
                <xdr:rowOff>142875</xdr:rowOff>
              </to>
            </anchor>
          </controlPr>
        </control>
      </mc:Choice>
      <mc:Fallback>
        <control shapeId="2063" r:id="rId13" name="VarErr9"/>
      </mc:Fallback>
    </mc:AlternateContent>
    <mc:AlternateContent xmlns:mc="http://schemas.openxmlformats.org/markup-compatibility/2006">
      <mc:Choice Requires="x14">
        <control shapeId="2064" r:id="rId14" name="VarErr10">
          <controlPr defaultSize="0" autoLine="0" r:id="rId5">
            <anchor moveWithCells="1">
              <from>
                <xdr:col>2</xdr:col>
                <xdr:colOff>247650</xdr:colOff>
                <xdr:row>12</xdr:row>
                <xdr:rowOff>19050</xdr:rowOff>
              </from>
              <to>
                <xdr:col>2</xdr:col>
                <xdr:colOff>409575</xdr:colOff>
                <xdr:row>12</xdr:row>
                <xdr:rowOff>142875</xdr:rowOff>
              </to>
            </anchor>
          </controlPr>
        </control>
      </mc:Choice>
      <mc:Fallback>
        <control shapeId="2064" r:id="rId14" name="VarErr10"/>
      </mc:Fallback>
    </mc:AlternateContent>
    <mc:AlternateContent xmlns:mc="http://schemas.openxmlformats.org/markup-compatibility/2006">
      <mc:Choice Requires="x14">
        <control shapeId="2065" r:id="rId15" name="VarErr11">
          <controlPr defaultSize="0" autoLine="0" r:id="rId5">
            <anchor moveWithCells="1">
              <from>
                <xdr:col>2</xdr:col>
                <xdr:colOff>247650</xdr:colOff>
                <xdr:row>13</xdr:row>
                <xdr:rowOff>19050</xdr:rowOff>
              </from>
              <to>
                <xdr:col>2</xdr:col>
                <xdr:colOff>409575</xdr:colOff>
                <xdr:row>13</xdr:row>
                <xdr:rowOff>142875</xdr:rowOff>
              </to>
            </anchor>
          </controlPr>
        </control>
      </mc:Choice>
      <mc:Fallback>
        <control shapeId="2065" r:id="rId15" name="VarErr11"/>
      </mc:Fallback>
    </mc:AlternateContent>
    <mc:AlternateContent xmlns:mc="http://schemas.openxmlformats.org/markup-compatibility/2006">
      <mc:Choice Requires="x14">
        <control shapeId="2066" r:id="rId16" name="VarErr12">
          <controlPr defaultSize="0" autoLine="0" r:id="rId5">
            <anchor moveWithCells="1">
              <from>
                <xdr:col>2</xdr:col>
                <xdr:colOff>247650</xdr:colOff>
                <xdr:row>14</xdr:row>
                <xdr:rowOff>19050</xdr:rowOff>
              </from>
              <to>
                <xdr:col>2</xdr:col>
                <xdr:colOff>409575</xdr:colOff>
                <xdr:row>14</xdr:row>
                <xdr:rowOff>142875</xdr:rowOff>
              </to>
            </anchor>
          </controlPr>
        </control>
      </mc:Choice>
      <mc:Fallback>
        <control shapeId="2066" r:id="rId16" name="VarErr12"/>
      </mc:Fallback>
    </mc:AlternateContent>
    <mc:AlternateContent xmlns:mc="http://schemas.openxmlformats.org/markup-compatibility/2006">
      <mc:Choice Requires="x14">
        <control shapeId="2067" r:id="rId17" name="VarErr13">
          <controlPr defaultSize="0" autoLine="0" r:id="rId5">
            <anchor moveWithCells="1">
              <from>
                <xdr:col>2</xdr:col>
                <xdr:colOff>247650</xdr:colOff>
                <xdr:row>15</xdr:row>
                <xdr:rowOff>19050</xdr:rowOff>
              </from>
              <to>
                <xdr:col>2</xdr:col>
                <xdr:colOff>409575</xdr:colOff>
                <xdr:row>15</xdr:row>
                <xdr:rowOff>142875</xdr:rowOff>
              </to>
            </anchor>
          </controlPr>
        </control>
      </mc:Choice>
      <mc:Fallback>
        <control shapeId="2067" r:id="rId17" name="VarErr13"/>
      </mc:Fallback>
    </mc:AlternateContent>
    <mc:AlternateContent xmlns:mc="http://schemas.openxmlformats.org/markup-compatibility/2006">
      <mc:Choice Requires="x14">
        <control shapeId="2068" r:id="rId18" name="VarErr14">
          <controlPr defaultSize="0" autoLine="0" r:id="rId5">
            <anchor moveWithCells="1">
              <from>
                <xdr:col>2</xdr:col>
                <xdr:colOff>247650</xdr:colOff>
                <xdr:row>16</xdr:row>
                <xdr:rowOff>19050</xdr:rowOff>
              </from>
              <to>
                <xdr:col>2</xdr:col>
                <xdr:colOff>409575</xdr:colOff>
                <xdr:row>16</xdr:row>
                <xdr:rowOff>142875</xdr:rowOff>
              </to>
            </anchor>
          </controlPr>
        </control>
      </mc:Choice>
      <mc:Fallback>
        <control shapeId="2068" r:id="rId18" name="VarErr14"/>
      </mc:Fallback>
    </mc:AlternateContent>
    <mc:AlternateContent xmlns:mc="http://schemas.openxmlformats.org/markup-compatibility/2006">
      <mc:Choice Requires="x14">
        <control shapeId="2069" r:id="rId19" name="VarErr15">
          <controlPr defaultSize="0" autoLine="0" r:id="rId5">
            <anchor moveWithCells="1">
              <from>
                <xdr:col>2</xdr:col>
                <xdr:colOff>247650</xdr:colOff>
                <xdr:row>17</xdr:row>
                <xdr:rowOff>19050</xdr:rowOff>
              </from>
              <to>
                <xdr:col>2</xdr:col>
                <xdr:colOff>409575</xdr:colOff>
                <xdr:row>17</xdr:row>
                <xdr:rowOff>142875</xdr:rowOff>
              </to>
            </anchor>
          </controlPr>
        </control>
      </mc:Choice>
      <mc:Fallback>
        <control shapeId="2069" r:id="rId19" name="VarErr15"/>
      </mc:Fallback>
    </mc:AlternateContent>
    <mc:AlternateContent xmlns:mc="http://schemas.openxmlformats.org/markup-compatibility/2006">
      <mc:Choice Requires="x14">
        <control shapeId="2070" r:id="rId20" name="VarErr16">
          <controlPr defaultSize="0" autoLine="0" r:id="rId5">
            <anchor moveWithCells="1">
              <from>
                <xdr:col>2</xdr:col>
                <xdr:colOff>247650</xdr:colOff>
                <xdr:row>18</xdr:row>
                <xdr:rowOff>19050</xdr:rowOff>
              </from>
              <to>
                <xdr:col>2</xdr:col>
                <xdr:colOff>409575</xdr:colOff>
                <xdr:row>18</xdr:row>
                <xdr:rowOff>142875</xdr:rowOff>
              </to>
            </anchor>
          </controlPr>
        </control>
      </mc:Choice>
      <mc:Fallback>
        <control shapeId="2070" r:id="rId20" name="VarErr16"/>
      </mc:Fallback>
    </mc:AlternateContent>
    <mc:AlternateContent xmlns:mc="http://schemas.openxmlformats.org/markup-compatibility/2006">
      <mc:Choice Requires="x14">
        <control shapeId="2071" r:id="rId21" name="VarErr17">
          <controlPr defaultSize="0" autoLine="0" r:id="rId5">
            <anchor moveWithCells="1">
              <from>
                <xdr:col>2</xdr:col>
                <xdr:colOff>247650</xdr:colOff>
                <xdr:row>19</xdr:row>
                <xdr:rowOff>19050</xdr:rowOff>
              </from>
              <to>
                <xdr:col>2</xdr:col>
                <xdr:colOff>409575</xdr:colOff>
                <xdr:row>19</xdr:row>
                <xdr:rowOff>142875</xdr:rowOff>
              </to>
            </anchor>
          </controlPr>
        </control>
      </mc:Choice>
      <mc:Fallback>
        <control shapeId="2071" r:id="rId21" name="VarErr17"/>
      </mc:Fallback>
    </mc:AlternateContent>
    <mc:AlternateContent xmlns:mc="http://schemas.openxmlformats.org/markup-compatibility/2006">
      <mc:Choice Requires="x14">
        <control shapeId="2072" r:id="rId22" name="VarErr18">
          <controlPr defaultSize="0" autoLine="0" r:id="rId5">
            <anchor moveWithCells="1">
              <from>
                <xdr:col>2</xdr:col>
                <xdr:colOff>247650</xdr:colOff>
                <xdr:row>20</xdr:row>
                <xdr:rowOff>19050</xdr:rowOff>
              </from>
              <to>
                <xdr:col>2</xdr:col>
                <xdr:colOff>409575</xdr:colOff>
                <xdr:row>20</xdr:row>
                <xdr:rowOff>142875</xdr:rowOff>
              </to>
            </anchor>
          </controlPr>
        </control>
      </mc:Choice>
      <mc:Fallback>
        <control shapeId="2072" r:id="rId22" name="VarErr18"/>
      </mc:Fallback>
    </mc:AlternateContent>
    <mc:AlternateContent xmlns:mc="http://schemas.openxmlformats.org/markup-compatibility/2006">
      <mc:Choice Requires="x14">
        <control shapeId="2073" r:id="rId23" name="VarErr19">
          <controlPr defaultSize="0" autoLine="0" r:id="rId5">
            <anchor moveWithCells="1">
              <from>
                <xdr:col>2</xdr:col>
                <xdr:colOff>247650</xdr:colOff>
                <xdr:row>21</xdr:row>
                <xdr:rowOff>19050</xdr:rowOff>
              </from>
              <to>
                <xdr:col>2</xdr:col>
                <xdr:colOff>409575</xdr:colOff>
                <xdr:row>21</xdr:row>
                <xdr:rowOff>142875</xdr:rowOff>
              </to>
            </anchor>
          </controlPr>
        </control>
      </mc:Choice>
      <mc:Fallback>
        <control shapeId="2073" r:id="rId23" name="VarErr19"/>
      </mc:Fallback>
    </mc:AlternateContent>
    <mc:AlternateContent xmlns:mc="http://schemas.openxmlformats.org/markup-compatibility/2006">
      <mc:Choice Requires="x14">
        <control shapeId="2074" r:id="rId24" name="VarErr20">
          <controlPr defaultSize="0" autoLine="0" r:id="rId5">
            <anchor moveWithCells="1">
              <from>
                <xdr:col>2</xdr:col>
                <xdr:colOff>247650</xdr:colOff>
                <xdr:row>22</xdr:row>
                <xdr:rowOff>19050</xdr:rowOff>
              </from>
              <to>
                <xdr:col>2</xdr:col>
                <xdr:colOff>409575</xdr:colOff>
                <xdr:row>22</xdr:row>
                <xdr:rowOff>142875</xdr:rowOff>
              </to>
            </anchor>
          </controlPr>
        </control>
      </mc:Choice>
      <mc:Fallback>
        <control shapeId="2074" r:id="rId24" name="VarErr20"/>
      </mc:Fallback>
    </mc:AlternateContent>
    <mc:AlternateContent xmlns:mc="http://schemas.openxmlformats.org/markup-compatibility/2006">
      <mc:Choice Requires="x14">
        <control shapeId="2075" r:id="rId25" name="VarErr21">
          <controlPr defaultSize="0" autoLine="0" r:id="rId5">
            <anchor moveWithCells="1">
              <from>
                <xdr:col>2</xdr:col>
                <xdr:colOff>247650</xdr:colOff>
                <xdr:row>23</xdr:row>
                <xdr:rowOff>19050</xdr:rowOff>
              </from>
              <to>
                <xdr:col>2</xdr:col>
                <xdr:colOff>409575</xdr:colOff>
                <xdr:row>23</xdr:row>
                <xdr:rowOff>142875</xdr:rowOff>
              </to>
            </anchor>
          </controlPr>
        </control>
      </mc:Choice>
      <mc:Fallback>
        <control shapeId="2075" r:id="rId25" name="VarErr21"/>
      </mc:Fallback>
    </mc:AlternateContent>
    <mc:AlternateContent xmlns:mc="http://schemas.openxmlformats.org/markup-compatibility/2006">
      <mc:Choice Requires="x14">
        <control shapeId="2076" r:id="rId26" name="VarErr22">
          <controlPr defaultSize="0" autoLine="0" r:id="rId5">
            <anchor moveWithCells="1">
              <from>
                <xdr:col>2</xdr:col>
                <xdr:colOff>247650</xdr:colOff>
                <xdr:row>24</xdr:row>
                <xdr:rowOff>19050</xdr:rowOff>
              </from>
              <to>
                <xdr:col>2</xdr:col>
                <xdr:colOff>409575</xdr:colOff>
                <xdr:row>24</xdr:row>
                <xdr:rowOff>142875</xdr:rowOff>
              </to>
            </anchor>
          </controlPr>
        </control>
      </mc:Choice>
      <mc:Fallback>
        <control shapeId="2076" r:id="rId26" name="VarErr22"/>
      </mc:Fallback>
    </mc:AlternateContent>
    <mc:AlternateContent xmlns:mc="http://schemas.openxmlformats.org/markup-compatibility/2006">
      <mc:Choice Requires="x14">
        <control shapeId="2077" r:id="rId27" name="VarErr23">
          <controlPr defaultSize="0" autoLine="0" r:id="rId5">
            <anchor moveWithCells="1">
              <from>
                <xdr:col>2</xdr:col>
                <xdr:colOff>247650</xdr:colOff>
                <xdr:row>25</xdr:row>
                <xdr:rowOff>19050</xdr:rowOff>
              </from>
              <to>
                <xdr:col>2</xdr:col>
                <xdr:colOff>409575</xdr:colOff>
                <xdr:row>25</xdr:row>
                <xdr:rowOff>142875</xdr:rowOff>
              </to>
            </anchor>
          </controlPr>
        </control>
      </mc:Choice>
      <mc:Fallback>
        <control shapeId="2077" r:id="rId27" name="VarErr23"/>
      </mc:Fallback>
    </mc:AlternateContent>
    <mc:AlternateContent xmlns:mc="http://schemas.openxmlformats.org/markup-compatibility/2006">
      <mc:Choice Requires="x14">
        <control shapeId="2078" r:id="rId28" name="VarErr24">
          <controlPr defaultSize="0" autoLine="0" r:id="rId5">
            <anchor moveWithCells="1">
              <from>
                <xdr:col>2</xdr:col>
                <xdr:colOff>247650</xdr:colOff>
                <xdr:row>26</xdr:row>
                <xdr:rowOff>19050</xdr:rowOff>
              </from>
              <to>
                <xdr:col>2</xdr:col>
                <xdr:colOff>409575</xdr:colOff>
                <xdr:row>26</xdr:row>
                <xdr:rowOff>142875</xdr:rowOff>
              </to>
            </anchor>
          </controlPr>
        </control>
      </mc:Choice>
      <mc:Fallback>
        <control shapeId="2078" r:id="rId28" name="VarErr24"/>
      </mc:Fallback>
    </mc:AlternateContent>
    <mc:AlternateContent xmlns:mc="http://schemas.openxmlformats.org/markup-compatibility/2006">
      <mc:Choice Requires="x14">
        <control shapeId="2079" r:id="rId29" name="VarErr25">
          <controlPr defaultSize="0" autoLine="0" r:id="rId5">
            <anchor moveWithCells="1">
              <from>
                <xdr:col>2</xdr:col>
                <xdr:colOff>247650</xdr:colOff>
                <xdr:row>27</xdr:row>
                <xdr:rowOff>19050</xdr:rowOff>
              </from>
              <to>
                <xdr:col>2</xdr:col>
                <xdr:colOff>409575</xdr:colOff>
                <xdr:row>27</xdr:row>
                <xdr:rowOff>142875</xdr:rowOff>
              </to>
            </anchor>
          </controlPr>
        </control>
      </mc:Choice>
      <mc:Fallback>
        <control shapeId="2079" r:id="rId29" name="VarErr25"/>
      </mc:Fallback>
    </mc:AlternateContent>
    <mc:AlternateContent xmlns:mc="http://schemas.openxmlformats.org/markup-compatibility/2006">
      <mc:Choice Requires="x14">
        <control shapeId="2080" r:id="rId30" name="VarErr26">
          <controlPr defaultSize="0" autoLine="0" r:id="rId5">
            <anchor moveWithCells="1">
              <from>
                <xdr:col>2</xdr:col>
                <xdr:colOff>247650</xdr:colOff>
                <xdr:row>28</xdr:row>
                <xdr:rowOff>19050</xdr:rowOff>
              </from>
              <to>
                <xdr:col>2</xdr:col>
                <xdr:colOff>409575</xdr:colOff>
                <xdr:row>28</xdr:row>
                <xdr:rowOff>142875</xdr:rowOff>
              </to>
            </anchor>
          </controlPr>
        </control>
      </mc:Choice>
      <mc:Fallback>
        <control shapeId="2080" r:id="rId30" name="VarErr26"/>
      </mc:Fallback>
    </mc:AlternateContent>
    <mc:AlternateContent xmlns:mc="http://schemas.openxmlformats.org/markup-compatibility/2006">
      <mc:Choice Requires="x14">
        <control shapeId="2081" r:id="rId31" name="VarErr27">
          <controlPr defaultSize="0" autoLine="0" r:id="rId5">
            <anchor moveWithCells="1">
              <from>
                <xdr:col>2</xdr:col>
                <xdr:colOff>247650</xdr:colOff>
                <xdr:row>29</xdr:row>
                <xdr:rowOff>19050</xdr:rowOff>
              </from>
              <to>
                <xdr:col>2</xdr:col>
                <xdr:colOff>409575</xdr:colOff>
                <xdr:row>29</xdr:row>
                <xdr:rowOff>142875</xdr:rowOff>
              </to>
            </anchor>
          </controlPr>
        </control>
      </mc:Choice>
      <mc:Fallback>
        <control shapeId="2081" r:id="rId31" name="VarErr27"/>
      </mc:Fallback>
    </mc:AlternateContent>
    <mc:AlternateContent xmlns:mc="http://schemas.openxmlformats.org/markup-compatibility/2006">
      <mc:Choice Requires="x14">
        <control shapeId="2082" r:id="rId32" name="VarErr28">
          <controlPr defaultSize="0" autoLine="0" r:id="rId5">
            <anchor moveWithCells="1">
              <from>
                <xdr:col>2</xdr:col>
                <xdr:colOff>247650</xdr:colOff>
                <xdr:row>30</xdr:row>
                <xdr:rowOff>19050</xdr:rowOff>
              </from>
              <to>
                <xdr:col>2</xdr:col>
                <xdr:colOff>409575</xdr:colOff>
                <xdr:row>30</xdr:row>
                <xdr:rowOff>142875</xdr:rowOff>
              </to>
            </anchor>
          </controlPr>
        </control>
      </mc:Choice>
      <mc:Fallback>
        <control shapeId="2082" r:id="rId32" name="VarErr28"/>
      </mc:Fallback>
    </mc:AlternateContent>
    <mc:AlternateContent xmlns:mc="http://schemas.openxmlformats.org/markup-compatibility/2006">
      <mc:Choice Requires="x14">
        <control shapeId="2083" r:id="rId33" name="VarErr29">
          <controlPr defaultSize="0" autoLine="0" r:id="rId5">
            <anchor moveWithCells="1">
              <from>
                <xdr:col>2</xdr:col>
                <xdr:colOff>247650</xdr:colOff>
                <xdr:row>31</xdr:row>
                <xdr:rowOff>19050</xdr:rowOff>
              </from>
              <to>
                <xdr:col>2</xdr:col>
                <xdr:colOff>409575</xdr:colOff>
                <xdr:row>31</xdr:row>
                <xdr:rowOff>142875</xdr:rowOff>
              </to>
            </anchor>
          </controlPr>
        </control>
      </mc:Choice>
      <mc:Fallback>
        <control shapeId="2083" r:id="rId33" name="VarErr29"/>
      </mc:Fallback>
    </mc:AlternateContent>
    <mc:AlternateContent xmlns:mc="http://schemas.openxmlformats.org/markup-compatibility/2006">
      <mc:Choice Requires="x14">
        <control shapeId="2084" r:id="rId34" name="VarErr30">
          <controlPr defaultSize="0" autoLine="0" r:id="rId5">
            <anchor moveWithCells="1">
              <from>
                <xdr:col>2</xdr:col>
                <xdr:colOff>247650</xdr:colOff>
                <xdr:row>32</xdr:row>
                <xdr:rowOff>19050</xdr:rowOff>
              </from>
              <to>
                <xdr:col>2</xdr:col>
                <xdr:colOff>409575</xdr:colOff>
                <xdr:row>32</xdr:row>
                <xdr:rowOff>142875</xdr:rowOff>
              </to>
            </anchor>
          </controlPr>
        </control>
      </mc:Choice>
      <mc:Fallback>
        <control shapeId="2084" r:id="rId34" name="VarErr30"/>
      </mc:Fallback>
    </mc:AlternateContent>
    <mc:AlternateContent xmlns:mc="http://schemas.openxmlformats.org/markup-compatibility/2006">
      <mc:Choice Requires="x14">
        <control shapeId="2085" r:id="rId35" name="VarErr31">
          <controlPr defaultSize="0" autoLine="0" r:id="rId5">
            <anchor moveWithCells="1">
              <from>
                <xdr:col>2</xdr:col>
                <xdr:colOff>247650</xdr:colOff>
                <xdr:row>33</xdr:row>
                <xdr:rowOff>19050</xdr:rowOff>
              </from>
              <to>
                <xdr:col>2</xdr:col>
                <xdr:colOff>409575</xdr:colOff>
                <xdr:row>33</xdr:row>
                <xdr:rowOff>142875</xdr:rowOff>
              </to>
            </anchor>
          </controlPr>
        </control>
      </mc:Choice>
      <mc:Fallback>
        <control shapeId="2085" r:id="rId35" name="VarErr31"/>
      </mc:Fallback>
    </mc:AlternateContent>
    <mc:AlternateContent xmlns:mc="http://schemas.openxmlformats.org/markup-compatibility/2006">
      <mc:Choice Requires="x14">
        <control shapeId="2086" r:id="rId36" name="VarErr32">
          <controlPr defaultSize="0" autoLine="0" r:id="rId5">
            <anchor moveWithCells="1">
              <from>
                <xdr:col>2</xdr:col>
                <xdr:colOff>247650</xdr:colOff>
                <xdr:row>34</xdr:row>
                <xdr:rowOff>19050</xdr:rowOff>
              </from>
              <to>
                <xdr:col>2</xdr:col>
                <xdr:colOff>409575</xdr:colOff>
                <xdr:row>34</xdr:row>
                <xdr:rowOff>142875</xdr:rowOff>
              </to>
            </anchor>
          </controlPr>
        </control>
      </mc:Choice>
      <mc:Fallback>
        <control shapeId="2086" r:id="rId36" name="VarErr32"/>
      </mc:Fallback>
    </mc:AlternateContent>
    <mc:AlternateContent xmlns:mc="http://schemas.openxmlformats.org/markup-compatibility/2006">
      <mc:Choice Requires="x14">
        <control shapeId="2087" r:id="rId37" name="VarErr33">
          <controlPr defaultSize="0" autoLine="0" r:id="rId5">
            <anchor moveWithCells="1">
              <from>
                <xdr:col>2</xdr:col>
                <xdr:colOff>247650</xdr:colOff>
                <xdr:row>35</xdr:row>
                <xdr:rowOff>19050</xdr:rowOff>
              </from>
              <to>
                <xdr:col>2</xdr:col>
                <xdr:colOff>409575</xdr:colOff>
                <xdr:row>35</xdr:row>
                <xdr:rowOff>142875</xdr:rowOff>
              </to>
            </anchor>
          </controlPr>
        </control>
      </mc:Choice>
      <mc:Fallback>
        <control shapeId="2087" r:id="rId37" name="VarErr33"/>
      </mc:Fallback>
    </mc:AlternateContent>
    <mc:AlternateContent xmlns:mc="http://schemas.openxmlformats.org/markup-compatibility/2006">
      <mc:Choice Requires="x14">
        <control shapeId="2088" r:id="rId38" name="VarErr34">
          <controlPr defaultSize="0" autoLine="0" r:id="rId5">
            <anchor moveWithCells="1">
              <from>
                <xdr:col>2</xdr:col>
                <xdr:colOff>247650</xdr:colOff>
                <xdr:row>36</xdr:row>
                <xdr:rowOff>19050</xdr:rowOff>
              </from>
              <to>
                <xdr:col>2</xdr:col>
                <xdr:colOff>409575</xdr:colOff>
                <xdr:row>36</xdr:row>
                <xdr:rowOff>142875</xdr:rowOff>
              </to>
            </anchor>
          </controlPr>
        </control>
      </mc:Choice>
      <mc:Fallback>
        <control shapeId="2088" r:id="rId38" name="VarErr34"/>
      </mc:Fallback>
    </mc:AlternateContent>
    <mc:AlternateContent xmlns:mc="http://schemas.openxmlformats.org/markup-compatibility/2006">
      <mc:Choice Requires="x14">
        <control shapeId="2089" r:id="rId39" name="VarErr35">
          <controlPr defaultSize="0" autoLine="0" r:id="rId5">
            <anchor moveWithCells="1">
              <from>
                <xdr:col>2</xdr:col>
                <xdr:colOff>247650</xdr:colOff>
                <xdr:row>37</xdr:row>
                <xdr:rowOff>19050</xdr:rowOff>
              </from>
              <to>
                <xdr:col>2</xdr:col>
                <xdr:colOff>409575</xdr:colOff>
                <xdr:row>37</xdr:row>
                <xdr:rowOff>142875</xdr:rowOff>
              </to>
            </anchor>
          </controlPr>
        </control>
      </mc:Choice>
      <mc:Fallback>
        <control shapeId="2089" r:id="rId39" name="VarErr35"/>
      </mc:Fallback>
    </mc:AlternateContent>
    <mc:AlternateContent xmlns:mc="http://schemas.openxmlformats.org/markup-compatibility/2006">
      <mc:Choice Requires="x14">
        <control shapeId="2090" r:id="rId40" name="VarErr36">
          <controlPr defaultSize="0" autoLine="0" r:id="rId5">
            <anchor moveWithCells="1">
              <from>
                <xdr:col>2</xdr:col>
                <xdr:colOff>247650</xdr:colOff>
                <xdr:row>38</xdr:row>
                <xdr:rowOff>19050</xdr:rowOff>
              </from>
              <to>
                <xdr:col>2</xdr:col>
                <xdr:colOff>409575</xdr:colOff>
                <xdr:row>38</xdr:row>
                <xdr:rowOff>142875</xdr:rowOff>
              </to>
            </anchor>
          </controlPr>
        </control>
      </mc:Choice>
      <mc:Fallback>
        <control shapeId="2090" r:id="rId40" name="VarErr36"/>
      </mc:Fallback>
    </mc:AlternateContent>
    <mc:AlternateContent xmlns:mc="http://schemas.openxmlformats.org/markup-compatibility/2006">
      <mc:Choice Requires="x14">
        <control shapeId="2091" r:id="rId41" name="VarErr37">
          <controlPr defaultSize="0" autoLine="0" r:id="rId5">
            <anchor moveWithCells="1">
              <from>
                <xdr:col>2</xdr:col>
                <xdr:colOff>247650</xdr:colOff>
                <xdr:row>39</xdr:row>
                <xdr:rowOff>19050</xdr:rowOff>
              </from>
              <to>
                <xdr:col>2</xdr:col>
                <xdr:colOff>409575</xdr:colOff>
                <xdr:row>39</xdr:row>
                <xdr:rowOff>142875</xdr:rowOff>
              </to>
            </anchor>
          </controlPr>
        </control>
      </mc:Choice>
      <mc:Fallback>
        <control shapeId="2091" r:id="rId41" name="VarErr37"/>
      </mc:Fallback>
    </mc:AlternateContent>
    <mc:AlternateContent xmlns:mc="http://schemas.openxmlformats.org/markup-compatibility/2006">
      <mc:Choice Requires="x14">
        <control shapeId="2092" r:id="rId42" name="VarErr38">
          <controlPr defaultSize="0" autoLine="0" r:id="rId5">
            <anchor moveWithCells="1">
              <from>
                <xdr:col>2</xdr:col>
                <xdr:colOff>247650</xdr:colOff>
                <xdr:row>40</xdr:row>
                <xdr:rowOff>19050</xdr:rowOff>
              </from>
              <to>
                <xdr:col>2</xdr:col>
                <xdr:colOff>409575</xdr:colOff>
                <xdr:row>40</xdr:row>
                <xdr:rowOff>142875</xdr:rowOff>
              </to>
            </anchor>
          </controlPr>
        </control>
      </mc:Choice>
      <mc:Fallback>
        <control shapeId="2092" r:id="rId42" name="VarErr38"/>
      </mc:Fallback>
    </mc:AlternateContent>
    <mc:AlternateContent xmlns:mc="http://schemas.openxmlformats.org/markup-compatibility/2006">
      <mc:Choice Requires="x14">
        <control shapeId="2093" r:id="rId43" name="VarErr39">
          <controlPr defaultSize="0" autoLine="0" r:id="rId5">
            <anchor moveWithCells="1">
              <from>
                <xdr:col>2</xdr:col>
                <xdr:colOff>247650</xdr:colOff>
                <xdr:row>41</xdr:row>
                <xdr:rowOff>19050</xdr:rowOff>
              </from>
              <to>
                <xdr:col>2</xdr:col>
                <xdr:colOff>409575</xdr:colOff>
                <xdr:row>41</xdr:row>
                <xdr:rowOff>142875</xdr:rowOff>
              </to>
            </anchor>
          </controlPr>
        </control>
      </mc:Choice>
      <mc:Fallback>
        <control shapeId="2093" r:id="rId43" name="VarErr39"/>
      </mc:Fallback>
    </mc:AlternateContent>
    <mc:AlternateContent xmlns:mc="http://schemas.openxmlformats.org/markup-compatibility/2006">
      <mc:Choice Requires="x14">
        <control shapeId="2094" r:id="rId44" name="VarErr40">
          <controlPr defaultSize="0" autoLine="0" r:id="rId5">
            <anchor moveWithCells="1">
              <from>
                <xdr:col>2</xdr:col>
                <xdr:colOff>247650</xdr:colOff>
                <xdr:row>42</xdr:row>
                <xdr:rowOff>19050</xdr:rowOff>
              </from>
              <to>
                <xdr:col>2</xdr:col>
                <xdr:colOff>409575</xdr:colOff>
                <xdr:row>42</xdr:row>
                <xdr:rowOff>142875</xdr:rowOff>
              </to>
            </anchor>
          </controlPr>
        </control>
      </mc:Choice>
      <mc:Fallback>
        <control shapeId="2094" r:id="rId44" name="VarErr40"/>
      </mc:Fallback>
    </mc:AlternateContent>
    <mc:AlternateContent xmlns:mc="http://schemas.openxmlformats.org/markup-compatibility/2006">
      <mc:Choice Requires="x14">
        <control shapeId="2095" r:id="rId45" name="VarErr41">
          <controlPr defaultSize="0" autoLine="0" r:id="rId5">
            <anchor moveWithCells="1">
              <from>
                <xdr:col>2</xdr:col>
                <xdr:colOff>247650</xdr:colOff>
                <xdr:row>43</xdr:row>
                <xdr:rowOff>19050</xdr:rowOff>
              </from>
              <to>
                <xdr:col>2</xdr:col>
                <xdr:colOff>409575</xdr:colOff>
                <xdr:row>43</xdr:row>
                <xdr:rowOff>142875</xdr:rowOff>
              </to>
            </anchor>
          </controlPr>
        </control>
      </mc:Choice>
      <mc:Fallback>
        <control shapeId="2095" r:id="rId45" name="VarErr41"/>
      </mc:Fallback>
    </mc:AlternateContent>
    <mc:AlternateContent xmlns:mc="http://schemas.openxmlformats.org/markup-compatibility/2006">
      <mc:Choice Requires="x14">
        <control shapeId="2096" r:id="rId46" name="VarErr42">
          <controlPr defaultSize="0" autoLine="0" r:id="rId5">
            <anchor moveWithCells="1">
              <from>
                <xdr:col>2</xdr:col>
                <xdr:colOff>247650</xdr:colOff>
                <xdr:row>44</xdr:row>
                <xdr:rowOff>19050</xdr:rowOff>
              </from>
              <to>
                <xdr:col>2</xdr:col>
                <xdr:colOff>409575</xdr:colOff>
                <xdr:row>44</xdr:row>
                <xdr:rowOff>142875</xdr:rowOff>
              </to>
            </anchor>
          </controlPr>
        </control>
      </mc:Choice>
      <mc:Fallback>
        <control shapeId="2096" r:id="rId46" name="VarErr42"/>
      </mc:Fallback>
    </mc:AlternateContent>
    <mc:AlternateContent xmlns:mc="http://schemas.openxmlformats.org/markup-compatibility/2006">
      <mc:Choice Requires="x14">
        <control shapeId="2097" r:id="rId47" name="VarErr43">
          <controlPr defaultSize="0" autoLine="0" r:id="rId5">
            <anchor moveWithCells="1">
              <from>
                <xdr:col>2</xdr:col>
                <xdr:colOff>247650</xdr:colOff>
                <xdr:row>45</xdr:row>
                <xdr:rowOff>19050</xdr:rowOff>
              </from>
              <to>
                <xdr:col>2</xdr:col>
                <xdr:colOff>409575</xdr:colOff>
                <xdr:row>45</xdr:row>
                <xdr:rowOff>142875</xdr:rowOff>
              </to>
            </anchor>
          </controlPr>
        </control>
      </mc:Choice>
      <mc:Fallback>
        <control shapeId="2097" r:id="rId47" name="VarErr43"/>
      </mc:Fallback>
    </mc:AlternateContent>
    <mc:AlternateContent xmlns:mc="http://schemas.openxmlformats.org/markup-compatibility/2006">
      <mc:Choice Requires="x14">
        <control shapeId="2098" r:id="rId48" name="VarErr44">
          <controlPr defaultSize="0" autoLine="0" r:id="rId5">
            <anchor moveWithCells="1">
              <from>
                <xdr:col>2</xdr:col>
                <xdr:colOff>247650</xdr:colOff>
                <xdr:row>46</xdr:row>
                <xdr:rowOff>19050</xdr:rowOff>
              </from>
              <to>
                <xdr:col>2</xdr:col>
                <xdr:colOff>409575</xdr:colOff>
                <xdr:row>46</xdr:row>
                <xdr:rowOff>142875</xdr:rowOff>
              </to>
            </anchor>
          </controlPr>
        </control>
      </mc:Choice>
      <mc:Fallback>
        <control shapeId="2098" r:id="rId48" name="VarErr44"/>
      </mc:Fallback>
    </mc:AlternateContent>
    <mc:AlternateContent xmlns:mc="http://schemas.openxmlformats.org/markup-compatibility/2006">
      <mc:Choice Requires="x14">
        <control shapeId="2099" r:id="rId49" name="VarErr45">
          <controlPr defaultSize="0" autoLine="0" r:id="rId5">
            <anchor moveWithCells="1">
              <from>
                <xdr:col>2</xdr:col>
                <xdr:colOff>247650</xdr:colOff>
                <xdr:row>47</xdr:row>
                <xdr:rowOff>19050</xdr:rowOff>
              </from>
              <to>
                <xdr:col>2</xdr:col>
                <xdr:colOff>409575</xdr:colOff>
                <xdr:row>47</xdr:row>
                <xdr:rowOff>142875</xdr:rowOff>
              </to>
            </anchor>
          </controlPr>
        </control>
      </mc:Choice>
      <mc:Fallback>
        <control shapeId="2099" r:id="rId49" name="VarErr45"/>
      </mc:Fallback>
    </mc:AlternateContent>
    <mc:AlternateContent xmlns:mc="http://schemas.openxmlformats.org/markup-compatibility/2006">
      <mc:Choice Requires="x14">
        <control shapeId="2100" r:id="rId50" name="VarErr46">
          <controlPr defaultSize="0" autoLine="0" r:id="rId5">
            <anchor moveWithCells="1">
              <from>
                <xdr:col>2</xdr:col>
                <xdr:colOff>247650</xdr:colOff>
                <xdr:row>48</xdr:row>
                <xdr:rowOff>19050</xdr:rowOff>
              </from>
              <to>
                <xdr:col>2</xdr:col>
                <xdr:colOff>409575</xdr:colOff>
                <xdr:row>48</xdr:row>
                <xdr:rowOff>142875</xdr:rowOff>
              </to>
            </anchor>
          </controlPr>
        </control>
      </mc:Choice>
      <mc:Fallback>
        <control shapeId="2100" r:id="rId50" name="VarErr46"/>
      </mc:Fallback>
    </mc:AlternateContent>
    <mc:AlternateContent xmlns:mc="http://schemas.openxmlformats.org/markup-compatibility/2006">
      <mc:Choice Requires="x14">
        <control shapeId="2101" r:id="rId51" name="VarErr47">
          <controlPr defaultSize="0" autoLine="0" r:id="rId5">
            <anchor moveWithCells="1">
              <from>
                <xdr:col>2</xdr:col>
                <xdr:colOff>247650</xdr:colOff>
                <xdr:row>49</xdr:row>
                <xdr:rowOff>19050</xdr:rowOff>
              </from>
              <to>
                <xdr:col>2</xdr:col>
                <xdr:colOff>409575</xdr:colOff>
                <xdr:row>49</xdr:row>
                <xdr:rowOff>142875</xdr:rowOff>
              </to>
            </anchor>
          </controlPr>
        </control>
      </mc:Choice>
      <mc:Fallback>
        <control shapeId="2101" r:id="rId51" name="VarErr47"/>
      </mc:Fallback>
    </mc:AlternateContent>
    <mc:AlternateContent xmlns:mc="http://schemas.openxmlformats.org/markup-compatibility/2006">
      <mc:Choice Requires="x14">
        <control shapeId="2102" r:id="rId52" name="VarErr48">
          <controlPr defaultSize="0" autoLine="0" r:id="rId5">
            <anchor moveWithCells="1">
              <from>
                <xdr:col>2</xdr:col>
                <xdr:colOff>247650</xdr:colOff>
                <xdr:row>50</xdr:row>
                <xdr:rowOff>19050</xdr:rowOff>
              </from>
              <to>
                <xdr:col>2</xdr:col>
                <xdr:colOff>409575</xdr:colOff>
                <xdr:row>50</xdr:row>
                <xdr:rowOff>142875</xdr:rowOff>
              </to>
            </anchor>
          </controlPr>
        </control>
      </mc:Choice>
      <mc:Fallback>
        <control shapeId="2102" r:id="rId52" name="VarErr48"/>
      </mc:Fallback>
    </mc:AlternateContent>
    <mc:AlternateContent xmlns:mc="http://schemas.openxmlformats.org/markup-compatibility/2006">
      <mc:Choice Requires="x14">
        <control shapeId="2103" r:id="rId53" name="VarErr49">
          <controlPr defaultSize="0" autoLine="0" r:id="rId5">
            <anchor moveWithCells="1">
              <from>
                <xdr:col>2</xdr:col>
                <xdr:colOff>247650</xdr:colOff>
                <xdr:row>51</xdr:row>
                <xdr:rowOff>19050</xdr:rowOff>
              </from>
              <to>
                <xdr:col>2</xdr:col>
                <xdr:colOff>409575</xdr:colOff>
                <xdr:row>51</xdr:row>
                <xdr:rowOff>142875</xdr:rowOff>
              </to>
            </anchor>
          </controlPr>
        </control>
      </mc:Choice>
      <mc:Fallback>
        <control shapeId="2103" r:id="rId53" name="VarErr49"/>
      </mc:Fallback>
    </mc:AlternateContent>
    <mc:AlternateContent xmlns:mc="http://schemas.openxmlformats.org/markup-compatibility/2006">
      <mc:Choice Requires="x14">
        <control shapeId="2104" r:id="rId54" name="VarErr50">
          <controlPr defaultSize="0" autoLine="0" r:id="rId5">
            <anchor moveWithCells="1">
              <from>
                <xdr:col>2</xdr:col>
                <xdr:colOff>247650</xdr:colOff>
                <xdr:row>52</xdr:row>
                <xdr:rowOff>19050</xdr:rowOff>
              </from>
              <to>
                <xdr:col>2</xdr:col>
                <xdr:colOff>409575</xdr:colOff>
                <xdr:row>52</xdr:row>
                <xdr:rowOff>142875</xdr:rowOff>
              </to>
            </anchor>
          </controlPr>
        </control>
      </mc:Choice>
      <mc:Fallback>
        <control shapeId="2104" r:id="rId54" name="VarErr50"/>
      </mc:Fallback>
    </mc:AlternateContent>
    <mc:AlternateContent xmlns:mc="http://schemas.openxmlformats.org/markup-compatibility/2006">
      <mc:Choice Requires="x14">
        <control shapeId="2105" r:id="rId55" name="VarErr51">
          <controlPr defaultSize="0" autoLine="0" r:id="rId5">
            <anchor moveWithCells="1">
              <from>
                <xdr:col>2</xdr:col>
                <xdr:colOff>247650</xdr:colOff>
                <xdr:row>53</xdr:row>
                <xdr:rowOff>19050</xdr:rowOff>
              </from>
              <to>
                <xdr:col>2</xdr:col>
                <xdr:colOff>409575</xdr:colOff>
                <xdr:row>53</xdr:row>
                <xdr:rowOff>142875</xdr:rowOff>
              </to>
            </anchor>
          </controlPr>
        </control>
      </mc:Choice>
      <mc:Fallback>
        <control shapeId="2105" r:id="rId55" name="VarErr51"/>
      </mc:Fallback>
    </mc:AlternateContent>
    <mc:AlternateContent xmlns:mc="http://schemas.openxmlformats.org/markup-compatibility/2006">
      <mc:Choice Requires="x14">
        <control shapeId="2106" r:id="rId56" name="VarErr52">
          <controlPr defaultSize="0" autoLine="0" r:id="rId5">
            <anchor moveWithCells="1">
              <from>
                <xdr:col>2</xdr:col>
                <xdr:colOff>247650</xdr:colOff>
                <xdr:row>54</xdr:row>
                <xdr:rowOff>19050</xdr:rowOff>
              </from>
              <to>
                <xdr:col>2</xdr:col>
                <xdr:colOff>409575</xdr:colOff>
                <xdr:row>54</xdr:row>
                <xdr:rowOff>142875</xdr:rowOff>
              </to>
            </anchor>
          </controlPr>
        </control>
      </mc:Choice>
      <mc:Fallback>
        <control shapeId="2106" r:id="rId56" name="VarErr52"/>
      </mc:Fallback>
    </mc:AlternateContent>
    <mc:AlternateContent xmlns:mc="http://schemas.openxmlformats.org/markup-compatibility/2006">
      <mc:Choice Requires="x14">
        <control shapeId="2107" r:id="rId57" name="VarErr53">
          <controlPr defaultSize="0" autoLine="0" r:id="rId5">
            <anchor moveWithCells="1">
              <from>
                <xdr:col>2</xdr:col>
                <xdr:colOff>247650</xdr:colOff>
                <xdr:row>55</xdr:row>
                <xdr:rowOff>19050</xdr:rowOff>
              </from>
              <to>
                <xdr:col>2</xdr:col>
                <xdr:colOff>409575</xdr:colOff>
                <xdr:row>55</xdr:row>
                <xdr:rowOff>142875</xdr:rowOff>
              </to>
            </anchor>
          </controlPr>
        </control>
      </mc:Choice>
      <mc:Fallback>
        <control shapeId="2107" r:id="rId57" name="VarErr53"/>
      </mc:Fallback>
    </mc:AlternateContent>
    <mc:AlternateContent xmlns:mc="http://schemas.openxmlformats.org/markup-compatibility/2006">
      <mc:Choice Requires="x14">
        <control shapeId="2108" r:id="rId58" name="VarErr54">
          <controlPr defaultSize="0" autoLine="0" r:id="rId5">
            <anchor moveWithCells="1">
              <from>
                <xdr:col>2</xdr:col>
                <xdr:colOff>247650</xdr:colOff>
                <xdr:row>56</xdr:row>
                <xdr:rowOff>19050</xdr:rowOff>
              </from>
              <to>
                <xdr:col>2</xdr:col>
                <xdr:colOff>409575</xdr:colOff>
                <xdr:row>56</xdr:row>
                <xdr:rowOff>142875</xdr:rowOff>
              </to>
            </anchor>
          </controlPr>
        </control>
      </mc:Choice>
      <mc:Fallback>
        <control shapeId="2108" r:id="rId58" name="VarErr54"/>
      </mc:Fallback>
    </mc:AlternateContent>
    <mc:AlternateContent xmlns:mc="http://schemas.openxmlformats.org/markup-compatibility/2006">
      <mc:Choice Requires="x14">
        <control shapeId="2109" r:id="rId59" name="VarErr55">
          <controlPr defaultSize="0" autoLine="0" r:id="rId5">
            <anchor moveWithCells="1">
              <from>
                <xdr:col>2</xdr:col>
                <xdr:colOff>247650</xdr:colOff>
                <xdr:row>57</xdr:row>
                <xdr:rowOff>19050</xdr:rowOff>
              </from>
              <to>
                <xdr:col>2</xdr:col>
                <xdr:colOff>409575</xdr:colOff>
                <xdr:row>57</xdr:row>
                <xdr:rowOff>142875</xdr:rowOff>
              </to>
            </anchor>
          </controlPr>
        </control>
      </mc:Choice>
      <mc:Fallback>
        <control shapeId="2109" r:id="rId59" name="VarErr55"/>
      </mc:Fallback>
    </mc:AlternateContent>
    <mc:AlternateContent xmlns:mc="http://schemas.openxmlformats.org/markup-compatibility/2006">
      <mc:Choice Requires="x14">
        <control shapeId="2110" r:id="rId60" name="VarErr56">
          <controlPr defaultSize="0" autoLine="0" r:id="rId5">
            <anchor moveWithCells="1">
              <from>
                <xdr:col>2</xdr:col>
                <xdr:colOff>247650</xdr:colOff>
                <xdr:row>58</xdr:row>
                <xdr:rowOff>19050</xdr:rowOff>
              </from>
              <to>
                <xdr:col>2</xdr:col>
                <xdr:colOff>409575</xdr:colOff>
                <xdr:row>58</xdr:row>
                <xdr:rowOff>142875</xdr:rowOff>
              </to>
            </anchor>
          </controlPr>
        </control>
      </mc:Choice>
      <mc:Fallback>
        <control shapeId="2110" r:id="rId60" name="VarErr56"/>
      </mc:Fallback>
    </mc:AlternateContent>
    <mc:AlternateContent xmlns:mc="http://schemas.openxmlformats.org/markup-compatibility/2006">
      <mc:Choice Requires="x14">
        <control shapeId="2111" r:id="rId61" name="VarErr57">
          <controlPr defaultSize="0" autoLine="0" r:id="rId5">
            <anchor moveWithCells="1">
              <from>
                <xdr:col>2</xdr:col>
                <xdr:colOff>247650</xdr:colOff>
                <xdr:row>59</xdr:row>
                <xdr:rowOff>19050</xdr:rowOff>
              </from>
              <to>
                <xdr:col>2</xdr:col>
                <xdr:colOff>409575</xdr:colOff>
                <xdr:row>59</xdr:row>
                <xdr:rowOff>142875</xdr:rowOff>
              </to>
            </anchor>
          </controlPr>
        </control>
      </mc:Choice>
      <mc:Fallback>
        <control shapeId="2111" r:id="rId61" name="VarErr57"/>
      </mc:Fallback>
    </mc:AlternateContent>
    <mc:AlternateContent xmlns:mc="http://schemas.openxmlformats.org/markup-compatibility/2006">
      <mc:Choice Requires="x14">
        <control shapeId="2112" r:id="rId62" name="VarErr58">
          <controlPr defaultSize="0" autoLine="0" r:id="rId5">
            <anchor moveWithCells="1">
              <from>
                <xdr:col>2</xdr:col>
                <xdr:colOff>247650</xdr:colOff>
                <xdr:row>60</xdr:row>
                <xdr:rowOff>19050</xdr:rowOff>
              </from>
              <to>
                <xdr:col>2</xdr:col>
                <xdr:colOff>409575</xdr:colOff>
                <xdr:row>60</xdr:row>
                <xdr:rowOff>142875</xdr:rowOff>
              </to>
            </anchor>
          </controlPr>
        </control>
      </mc:Choice>
      <mc:Fallback>
        <control shapeId="2112" r:id="rId62" name="VarErr58"/>
      </mc:Fallback>
    </mc:AlternateContent>
    <mc:AlternateContent xmlns:mc="http://schemas.openxmlformats.org/markup-compatibility/2006">
      <mc:Choice Requires="x14">
        <control shapeId="2113" r:id="rId63" name="VarErr59">
          <controlPr defaultSize="0" autoLine="0" r:id="rId5">
            <anchor moveWithCells="1">
              <from>
                <xdr:col>2</xdr:col>
                <xdr:colOff>247650</xdr:colOff>
                <xdr:row>61</xdr:row>
                <xdr:rowOff>19050</xdr:rowOff>
              </from>
              <to>
                <xdr:col>2</xdr:col>
                <xdr:colOff>409575</xdr:colOff>
                <xdr:row>61</xdr:row>
                <xdr:rowOff>142875</xdr:rowOff>
              </to>
            </anchor>
          </controlPr>
        </control>
      </mc:Choice>
      <mc:Fallback>
        <control shapeId="2113" r:id="rId63" name="VarErr59"/>
      </mc:Fallback>
    </mc:AlternateContent>
    <mc:AlternateContent xmlns:mc="http://schemas.openxmlformats.org/markup-compatibility/2006">
      <mc:Choice Requires="x14">
        <control shapeId="2114" r:id="rId64" name="VarErr60">
          <controlPr defaultSize="0" autoLine="0" r:id="rId5">
            <anchor moveWithCells="1">
              <from>
                <xdr:col>2</xdr:col>
                <xdr:colOff>247650</xdr:colOff>
                <xdr:row>62</xdr:row>
                <xdr:rowOff>19050</xdr:rowOff>
              </from>
              <to>
                <xdr:col>2</xdr:col>
                <xdr:colOff>409575</xdr:colOff>
                <xdr:row>62</xdr:row>
                <xdr:rowOff>142875</xdr:rowOff>
              </to>
            </anchor>
          </controlPr>
        </control>
      </mc:Choice>
      <mc:Fallback>
        <control shapeId="2114" r:id="rId64" name="VarErr60"/>
      </mc:Fallback>
    </mc:AlternateContent>
    <mc:AlternateContent xmlns:mc="http://schemas.openxmlformats.org/markup-compatibility/2006">
      <mc:Choice Requires="x14">
        <control shapeId="2115" r:id="rId65" name="VarErr61">
          <controlPr defaultSize="0" autoLine="0" r:id="rId5">
            <anchor moveWithCells="1">
              <from>
                <xdr:col>2</xdr:col>
                <xdr:colOff>247650</xdr:colOff>
                <xdr:row>63</xdr:row>
                <xdr:rowOff>19050</xdr:rowOff>
              </from>
              <to>
                <xdr:col>2</xdr:col>
                <xdr:colOff>409575</xdr:colOff>
                <xdr:row>63</xdr:row>
                <xdr:rowOff>142875</xdr:rowOff>
              </to>
            </anchor>
          </controlPr>
        </control>
      </mc:Choice>
      <mc:Fallback>
        <control shapeId="2115" r:id="rId65" name="VarErr61"/>
      </mc:Fallback>
    </mc:AlternateContent>
    <mc:AlternateContent xmlns:mc="http://schemas.openxmlformats.org/markup-compatibility/2006">
      <mc:Choice Requires="x14">
        <control shapeId="2116" r:id="rId66" name="VarErr62">
          <controlPr defaultSize="0" autoLine="0" r:id="rId5">
            <anchor moveWithCells="1">
              <from>
                <xdr:col>2</xdr:col>
                <xdr:colOff>247650</xdr:colOff>
                <xdr:row>64</xdr:row>
                <xdr:rowOff>19050</xdr:rowOff>
              </from>
              <to>
                <xdr:col>2</xdr:col>
                <xdr:colOff>409575</xdr:colOff>
                <xdr:row>64</xdr:row>
                <xdr:rowOff>142875</xdr:rowOff>
              </to>
            </anchor>
          </controlPr>
        </control>
      </mc:Choice>
      <mc:Fallback>
        <control shapeId="2116" r:id="rId66" name="VarErr62"/>
      </mc:Fallback>
    </mc:AlternateContent>
    <mc:AlternateContent xmlns:mc="http://schemas.openxmlformats.org/markup-compatibility/2006">
      <mc:Choice Requires="x14">
        <control shapeId="2117" r:id="rId67" name="VarErr63">
          <controlPr defaultSize="0" autoLine="0" r:id="rId5">
            <anchor moveWithCells="1">
              <from>
                <xdr:col>2</xdr:col>
                <xdr:colOff>247650</xdr:colOff>
                <xdr:row>65</xdr:row>
                <xdr:rowOff>19050</xdr:rowOff>
              </from>
              <to>
                <xdr:col>2</xdr:col>
                <xdr:colOff>409575</xdr:colOff>
                <xdr:row>65</xdr:row>
                <xdr:rowOff>142875</xdr:rowOff>
              </to>
            </anchor>
          </controlPr>
        </control>
      </mc:Choice>
      <mc:Fallback>
        <control shapeId="2117" r:id="rId67" name="VarErr63"/>
      </mc:Fallback>
    </mc:AlternateContent>
    <mc:AlternateContent xmlns:mc="http://schemas.openxmlformats.org/markup-compatibility/2006">
      <mc:Choice Requires="x14">
        <control shapeId="2118" r:id="rId68" name="VarErr64">
          <controlPr defaultSize="0" autoLine="0" r:id="rId5">
            <anchor moveWithCells="1">
              <from>
                <xdr:col>2</xdr:col>
                <xdr:colOff>247650</xdr:colOff>
                <xdr:row>66</xdr:row>
                <xdr:rowOff>19050</xdr:rowOff>
              </from>
              <to>
                <xdr:col>2</xdr:col>
                <xdr:colOff>409575</xdr:colOff>
                <xdr:row>66</xdr:row>
                <xdr:rowOff>142875</xdr:rowOff>
              </to>
            </anchor>
          </controlPr>
        </control>
      </mc:Choice>
      <mc:Fallback>
        <control shapeId="2118" r:id="rId68" name="VarErr64"/>
      </mc:Fallback>
    </mc:AlternateContent>
    <mc:AlternateContent xmlns:mc="http://schemas.openxmlformats.org/markup-compatibility/2006">
      <mc:Choice Requires="x14">
        <control shapeId="2119" r:id="rId69" name="VarErr65">
          <controlPr defaultSize="0" autoLine="0" r:id="rId5">
            <anchor moveWithCells="1">
              <from>
                <xdr:col>2</xdr:col>
                <xdr:colOff>247650</xdr:colOff>
                <xdr:row>67</xdr:row>
                <xdr:rowOff>19050</xdr:rowOff>
              </from>
              <to>
                <xdr:col>2</xdr:col>
                <xdr:colOff>409575</xdr:colOff>
                <xdr:row>67</xdr:row>
                <xdr:rowOff>142875</xdr:rowOff>
              </to>
            </anchor>
          </controlPr>
        </control>
      </mc:Choice>
      <mc:Fallback>
        <control shapeId="2119" r:id="rId69" name="VarErr65"/>
      </mc:Fallback>
    </mc:AlternateContent>
    <mc:AlternateContent xmlns:mc="http://schemas.openxmlformats.org/markup-compatibility/2006">
      <mc:Choice Requires="x14">
        <control shapeId="2120" r:id="rId70" name="VarErr66">
          <controlPr defaultSize="0" autoLine="0" r:id="rId5">
            <anchor moveWithCells="1">
              <from>
                <xdr:col>2</xdr:col>
                <xdr:colOff>247650</xdr:colOff>
                <xdr:row>68</xdr:row>
                <xdr:rowOff>19050</xdr:rowOff>
              </from>
              <to>
                <xdr:col>2</xdr:col>
                <xdr:colOff>409575</xdr:colOff>
                <xdr:row>68</xdr:row>
                <xdr:rowOff>142875</xdr:rowOff>
              </to>
            </anchor>
          </controlPr>
        </control>
      </mc:Choice>
      <mc:Fallback>
        <control shapeId="2120" r:id="rId70" name="VarErr66"/>
      </mc:Fallback>
    </mc:AlternateContent>
    <mc:AlternateContent xmlns:mc="http://schemas.openxmlformats.org/markup-compatibility/2006">
      <mc:Choice Requires="x14">
        <control shapeId="2121" r:id="rId71" name="VarErr67">
          <controlPr defaultSize="0" autoLine="0" r:id="rId5">
            <anchor moveWithCells="1">
              <from>
                <xdr:col>2</xdr:col>
                <xdr:colOff>247650</xdr:colOff>
                <xdr:row>69</xdr:row>
                <xdr:rowOff>19050</xdr:rowOff>
              </from>
              <to>
                <xdr:col>2</xdr:col>
                <xdr:colOff>409575</xdr:colOff>
                <xdr:row>69</xdr:row>
                <xdr:rowOff>142875</xdr:rowOff>
              </to>
            </anchor>
          </controlPr>
        </control>
      </mc:Choice>
      <mc:Fallback>
        <control shapeId="2121" r:id="rId71" name="VarErr67"/>
      </mc:Fallback>
    </mc:AlternateContent>
    <mc:AlternateContent xmlns:mc="http://schemas.openxmlformats.org/markup-compatibility/2006">
      <mc:Choice Requires="x14">
        <control shapeId="2122" r:id="rId72" name="VarErr68">
          <controlPr defaultSize="0" autoLine="0" r:id="rId5">
            <anchor moveWithCells="1">
              <from>
                <xdr:col>2</xdr:col>
                <xdr:colOff>247650</xdr:colOff>
                <xdr:row>70</xdr:row>
                <xdr:rowOff>19050</xdr:rowOff>
              </from>
              <to>
                <xdr:col>2</xdr:col>
                <xdr:colOff>409575</xdr:colOff>
                <xdr:row>70</xdr:row>
                <xdr:rowOff>142875</xdr:rowOff>
              </to>
            </anchor>
          </controlPr>
        </control>
      </mc:Choice>
      <mc:Fallback>
        <control shapeId="2122" r:id="rId72" name="VarErr68"/>
      </mc:Fallback>
    </mc:AlternateContent>
    <mc:AlternateContent xmlns:mc="http://schemas.openxmlformats.org/markup-compatibility/2006">
      <mc:Choice Requires="x14">
        <control shapeId="2123" r:id="rId73" name="VarErr69">
          <controlPr defaultSize="0" autoLine="0" r:id="rId5">
            <anchor moveWithCells="1">
              <from>
                <xdr:col>2</xdr:col>
                <xdr:colOff>247650</xdr:colOff>
                <xdr:row>71</xdr:row>
                <xdr:rowOff>19050</xdr:rowOff>
              </from>
              <to>
                <xdr:col>2</xdr:col>
                <xdr:colOff>409575</xdr:colOff>
                <xdr:row>71</xdr:row>
                <xdr:rowOff>142875</xdr:rowOff>
              </to>
            </anchor>
          </controlPr>
        </control>
      </mc:Choice>
      <mc:Fallback>
        <control shapeId="2123" r:id="rId73" name="VarErr69"/>
      </mc:Fallback>
    </mc:AlternateContent>
    <mc:AlternateContent xmlns:mc="http://schemas.openxmlformats.org/markup-compatibility/2006">
      <mc:Choice Requires="x14">
        <control shapeId="2124" r:id="rId74" name="VarErr70">
          <controlPr defaultSize="0" autoLine="0" r:id="rId5">
            <anchor moveWithCells="1">
              <from>
                <xdr:col>2</xdr:col>
                <xdr:colOff>247650</xdr:colOff>
                <xdr:row>72</xdr:row>
                <xdr:rowOff>19050</xdr:rowOff>
              </from>
              <to>
                <xdr:col>2</xdr:col>
                <xdr:colOff>409575</xdr:colOff>
                <xdr:row>72</xdr:row>
                <xdr:rowOff>142875</xdr:rowOff>
              </to>
            </anchor>
          </controlPr>
        </control>
      </mc:Choice>
      <mc:Fallback>
        <control shapeId="2124" r:id="rId74" name="VarErr70"/>
      </mc:Fallback>
    </mc:AlternateContent>
    <mc:AlternateContent xmlns:mc="http://schemas.openxmlformats.org/markup-compatibility/2006">
      <mc:Choice Requires="x14">
        <control shapeId="2125" r:id="rId75" name="VarErr71">
          <controlPr defaultSize="0" autoLine="0" r:id="rId5">
            <anchor moveWithCells="1">
              <from>
                <xdr:col>2</xdr:col>
                <xdr:colOff>247650</xdr:colOff>
                <xdr:row>73</xdr:row>
                <xdr:rowOff>19050</xdr:rowOff>
              </from>
              <to>
                <xdr:col>2</xdr:col>
                <xdr:colOff>409575</xdr:colOff>
                <xdr:row>73</xdr:row>
                <xdr:rowOff>142875</xdr:rowOff>
              </to>
            </anchor>
          </controlPr>
        </control>
      </mc:Choice>
      <mc:Fallback>
        <control shapeId="2125" r:id="rId75" name="VarErr71"/>
      </mc:Fallback>
    </mc:AlternateContent>
    <mc:AlternateContent xmlns:mc="http://schemas.openxmlformats.org/markup-compatibility/2006">
      <mc:Choice Requires="x14">
        <control shapeId="2126" r:id="rId76" name="VarErr72">
          <controlPr defaultSize="0" autoLine="0" r:id="rId5">
            <anchor moveWithCells="1">
              <from>
                <xdr:col>2</xdr:col>
                <xdr:colOff>247650</xdr:colOff>
                <xdr:row>74</xdr:row>
                <xdr:rowOff>19050</xdr:rowOff>
              </from>
              <to>
                <xdr:col>2</xdr:col>
                <xdr:colOff>409575</xdr:colOff>
                <xdr:row>74</xdr:row>
                <xdr:rowOff>142875</xdr:rowOff>
              </to>
            </anchor>
          </controlPr>
        </control>
      </mc:Choice>
      <mc:Fallback>
        <control shapeId="2126" r:id="rId76" name="VarErr72"/>
      </mc:Fallback>
    </mc:AlternateContent>
    <mc:AlternateContent xmlns:mc="http://schemas.openxmlformats.org/markup-compatibility/2006">
      <mc:Choice Requires="x14">
        <control shapeId="2127" r:id="rId77" name="VarErr73">
          <controlPr defaultSize="0" autoLine="0" r:id="rId5">
            <anchor moveWithCells="1">
              <from>
                <xdr:col>2</xdr:col>
                <xdr:colOff>247650</xdr:colOff>
                <xdr:row>75</xdr:row>
                <xdr:rowOff>19050</xdr:rowOff>
              </from>
              <to>
                <xdr:col>2</xdr:col>
                <xdr:colOff>409575</xdr:colOff>
                <xdr:row>75</xdr:row>
                <xdr:rowOff>142875</xdr:rowOff>
              </to>
            </anchor>
          </controlPr>
        </control>
      </mc:Choice>
      <mc:Fallback>
        <control shapeId="2127" r:id="rId77" name="VarErr73"/>
      </mc:Fallback>
    </mc:AlternateContent>
    <mc:AlternateContent xmlns:mc="http://schemas.openxmlformats.org/markup-compatibility/2006">
      <mc:Choice Requires="x14">
        <control shapeId="2128" r:id="rId78" name="VarErr74">
          <controlPr defaultSize="0" autoLine="0" r:id="rId5">
            <anchor moveWithCells="1">
              <from>
                <xdr:col>2</xdr:col>
                <xdr:colOff>247650</xdr:colOff>
                <xdr:row>76</xdr:row>
                <xdr:rowOff>19050</xdr:rowOff>
              </from>
              <to>
                <xdr:col>2</xdr:col>
                <xdr:colOff>409575</xdr:colOff>
                <xdr:row>76</xdr:row>
                <xdr:rowOff>142875</xdr:rowOff>
              </to>
            </anchor>
          </controlPr>
        </control>
      </mc:Choice>
      <mc:Fallback>
        <control shapeId="2128" r:id="rId78" name="VarErr74"/>
      </mc:Fallback>
    </mc:AlternateContent>
    <mc:AlternateContent xmlns:mc="http://schemas.openxmlformats.org/markup-compatibility/2006">
      <mc:Choice Requires="x14">
        <control shapeId="2129" r:id="rId79" name="VarErr75">
          <controlPr defaultSize="0" autoLine="0" r:id="rId5">
            <anchor moveWithCells="1">
              <from>
                <xdr:col>2</xdr:col>
                <xdr:colOff>247650</xdr:colOff>
                <xdr:row>77</xdr:row>
                <xdr:rowOff>19050</xdr:rowOff>
              </from>
              <to>
                <xdr:col>2</xdr:col>
                <xdr:colOff>409575</xdr:colOff>
                <xdr:row>77</xdr:row>
                <xdr:rowOff>142875</xdr:rowOff>
              </to>
            </anchor>
          </controlPr>
        </control>
      </mc:Choice>
      <mc:Fallback>
        <control shapeId="2129" r:id="rId79" name="VarErr75"/>
      </mc:Fallback>
    </mc:AlternateContent>
    <mc:AlternateContent xmlns:mc="http://schemas.openxmlformats.org/markup-compatibility/2006">
      <mc:Choice Requires="x14">
        <control shapeId="2130" r:id="rId80" name="VarErr76">
          <controlPr defaultSize="0" autoLine="0" r:id="rId5">
            <anchor moveWithCells="1">
              <from>
                <xdr:col>2</xdr:col>
                <xdr:colOff>247650</xdr:colOff>
                <xdr:row>78</xdr:row>
                <xdr:rowOff>19050</xdr:rowOff>
              </from>
              <to>
                <xdr:col>2</xdr:col>
                <xdr:colOff>409575</xdr:colOff>
                <xdr:row>78</xdr:row>
                <xdr:rowOff>142875</xdr:rowOff>
              </to>
            </anchor>
          </controlPr>
        </control>
      </mc:Choice>
      <mc:Fallback>
        <control shapeId="2130" r:id="rId80" name="VarErr76"/>
      </mc:Fallback>
    </mc:AlternateContent>
    <mc:AlternateContent xmlns:mc="http://schemas.openxmlformats.org/markup-compatibility/2006">
      <mc:Choice Requires="x14">
        <control shapeId="2131" r:id="rId81" name="VarErr77">
          <controlPr defaultSize="0" autoLine="0" r:id="rId5">
            <anchor moveWithCells="1">
              <from>
                <xdr:col>2</xdr:col>
                <xdr:colOff>247650</xdr:colOff>
                <xdr:row>79</xdr:row>
                <xdr:rowOff>19050</xdr:rowOff>
              </from>
              <to>
                <xdr:col>2</xdr:col>
                <xdr:colOff>409575</xdr:colOff>
                <xdr:row>79</xdr:row>
                <xdr:rowOff>142875</xdr:rowOff>
              </to>
            </anchor>
          </controlPr>
        </control>
      </mc:Choice>
      <mc:Fallback>
        <control shapeId="2131" r:id="rId81" name="VarErr77"/>
      </mc:Fallback>
    </mc:AlternateContent>
    <mc:AlternateContent xmlns:mc="http://schemas.openxmlformats.org/markup-compatibility/2006">
      <mc:Choice Requires="x14">
        <control shapeId="2132" r:id="rId82" name="VarErr78">
          <controlPr defaultSize="0" autoLine="0" r:id="rId5">
            <anchor moveWithCells="1">
              <from>
                <xdr:col>2</xdr:col>
                <xdr:colOff>247650</xdr:colOff>
                <xdr:row>80</xdr:row>
                <xdr:rowOff>19050</xdr:rowOff>
              </from>
              <to>
                <xdr:col>2</xdr:col>
                <xdr:colOff>409575</xdr:colOff>
                <xdr:row>80</xdr:row>
                <xdr:rowOff>142875</xdr:rowOff>
              </to>
            </anchor>
          </controlPr>
        </control>
      </mc:Choice>
      <mc:Fallback>
        <control shapeId="2132" r:id="rId82" name="VarErr78"/>
      </mc:Fallback>
    </mc:AlternateContent>
    <mc:AlternateContent xmlns:mc="http://schemas.openxmlformats.org/markup-compatibility/2006">
      <mc:Choice Requires="x14">
        <control shapeId="2133" r:id="rId83" name="VarErr79">
          <controlPr defaultSize="0" autoLine="0" r:id="rId5">
            <anchor moveWithCells="1">
              <from>
                <xdr:col>2</xdr:col>
                <xdr:colOff>247650</xdr:colOff>
                <xdr:row>81</xdr:row>
                <xdr:rowOff>19050</xdr:rowOff>
              </from>
              <to>
                <xdr:col>2</xdr:col>
                <xdr:colOff>409575</xdr:colOff>
                <xdr:row>81</xdr:row>
                <xdr:rowOff>142875</xdr:rowOff>
              </to>
            </anchor>
          </controlPr>
        </control>
      </mc:Choice>
      <mc:Fallback>
        <control shapeId="2133" r:id="rId83" name="VarErr79"/>
      </mc:Fallback>
    </mc:AlternateContent>
    <mc:AlternateContent xmlns:mc="http://schemas.openxmlformats.org/markup-compatibility/2006">
      <mc:Choice Requires="x14">
        <control shapeId="2134" r:id="rId84" name="VarErr80">
          <controlPr defaultSize="0" autoLine="0" r:id="rId5">
            <anchor moveWithCells="1">
              <from>
                <xdr:col>2</xdr:col>
                <xdr:colOff>247650</xdr:colOff>
                <xdr:row>82</xdr:row>
                <xdr:rowOff>19050</xdr:rowOff>
              </from>
              <to>
                <xdr:col>2</xdr:col>
                <xdr:colOff>409575</xdr:colOff>
                <xdr:row>82</xdr:row>
                <xdr:rowOff>142875</xdr:rowOff>
              </to>
            </anchor>
          </controlPr>
        </control>
      </mc:Choice>
      <mc:Fallback>
        <control shapeId="2134" r:id="rId84" name="VarErr80"/>
      </mc:Fallback>
    </mc:AlternateContent>
    <mc:AlternateContent xmlns:mc="http://schemas.openxmlformats.org/markup-compatibility/2006">
      <mc:Choice Requires="x14">
        <control shapeId="2135" r:id="rId85" name="VarErr81">
          <controlPr defaultSize="0" autoLine="0" r:id="rId5">
            <anchor moveWithCells="1">
              <from>
                <xdr:col>2</xdr:col>
                <xdr:colOff>247650</xdr:colOff>
                <xdr:row>83</xdr:row>
                <xdr:rowOff>19050</xdr:rowOff>
              </from>
              <to>
                <xdr:col>2</xdr:col>
                <xdr:colOff>409575</xdr:colOff>
                <xdr:row>83</xdr:row>
                <xdr:rowOff>142875</xdr:rowOff>
              </to>
            </anchor>
          </controlPr>
        </control>
      </mc:Choice>
      <mc:Fallback>
        <control shapeId="2135" r:id="rId85" name="VarErr81"/>
      </mc:Fallback>
    </mc:AlternateContent>
    <mc:AlternateContent xmlns:mc="http://schemas.openxmlformats.org/markup-compatibility/2006">
      <mc:Choice Requires="x14">
        <control shapeId="2136" r:id="rId86" name="VarErr82">
          <controlPr defaultSize="0" autoLine="0" r:id="rId5">
            <anchor moveWithCells="1">
              <from>
                <xdr:col>2</xdr:col>
                <xdr:colOff>247650</xdr:colOff>
                <xdr:row>84</xdr:row>
                <xdr:rowOff>19050</xdr:rowOff>
              </from>
              <to>
                <xdr:col>2</xdr:col>
                <xdr:colOff>409575</xdr:colOff>
                <xdr:row>84</xdr:row>
                <xdr:rowOff>142875</xdr:rowOff>
              </to>
            </anchor>
          </controlPr>
        </control>
      </mc:Choice>
      <mc:Fallback>
        <control shapeId="2136" r:id="rId86" name="VarErr82"/>
      </mc:Fallback>
    </mc:AlternateContent>
    <mc:AlternateContent xmlns:mc="http://schemas.openxmlformats.org/markup-compatibility/2006">
      <mc:Choice Requires="x14">
        <control shapeId="2137" r:id="rId87" name="VarErr83">
          <controlPr defaultSize="0" autoLine="0" r:id="rId5">
            <anchor moveWithCells="1">
              <from>
                <xdr:col>2</xdr:col>
                <xdr:colOff>247650</xdr:colOff>
                <xdr:row>85</xdr:row>
                <xdr:rowOff>19050</xdr:rowOff>
              </from>
              <to>
                <xdr:col>2</xdr:col>
                <xdr:colOff>409575</xdr:colOff>
                <xdr:row>85</xdr:row>
                <xdr:rowOff>142875</xdr:rowOff>
              </to>
            </anchor>
          </controlPr>
        </control>
      </mc:Choice>
      <mc:Fallback>
        <control shapeId="2137" r:id="rId87" name="VarErr83"/>
      </mc:Fallback>
    </mc:AlternateContent>
    <mc:AlternateContent xmlns:mc="http://schemas.openxmlformats.org/markup-compatibility/2006">
      <mc:Choice Requires="x14">
        <control shapeId="2138" r:id="rId88" name="VarErr84">
          <controlPr defaultSize="0" autoLine="0" r:id="rId5">
            <anchor moveWithCells="1">
              <from>
                <xdr:col>2</xdr:col>
                <xdr:colOff>247650</xdr:colOff>
                <xdr:row>86</xdr:row>
                <xdr:rowOff>19050</xdr:rowOff>
              </from>
              <to>
                <xdr:col>2</xdr:col>
                <xdr:colOff>409575</xdr:colOff>
                <xdr:row>86</xdr:row>
                <xdr:rowOff>142875</xdr:rowOff>
              </to>
            </anchor>
          </controlPr>
        </control>
      </mc:Choice>
      <mc:Fallback>
        <control shapeId="2138" r:id="rId88" name="VarErr84"/>
      </mc:Fallback>
    </mc:AlternateContent>
    <mc:AlternateContent xmlns:mc="http://schemas.openxmlformats.org/markup-compatibility/2006">
      <mc:Choice Requires="x14">
        <control shapeId="2139" r:id="rId89" name="VarErr85">
          <controlPr defaultSize="0" autoLine="0" r:id="rId5">
            <anchor moveWithCells="1">
              <from>
                <xdr:col>2</xdr:col>
                <xdr:colOff>247650</xdr:colOff>
                <xdr:row>87</xdr:row>
                <xdr:rowOff>19050</xdr:rowOff>
              </from>
              <to>
                <xdr:col>2</xdr:col>
                <xdr:colOff>409575</xdr:colOff>
                <xdr:row>87</xdr:row>
                <xdr:rowOff>142875</xdr:rowOff>
              </to>
            </anchor>
          </controlPr>
        </control>
      </mc:Choice>
      <mc:Fallback>
        <control shapeId="2139" r:id="rId89" name="VarErr85"/>
      </mc:Fallback>
    </mc:AlternateContent>
    <mc:AlternateContent xmlns:mc="http://schemas.openxmlformats.org/markup-compatibility/2006">
      <mc:Choice Requires="x14">
        <control shapeId="2140" r:id="rId90" name="VarErr86">
          <controlPr defaultSize="0" autoLine="0" r:id="rId5">
            <anchor moveWithCells="1">
              <from>
                <xdr:col>2</xdr:col>
                <xdr:colOff>247650</xdr:colOff>
                <xdr:row>88</xdr:row>
                <xdr:rowOff>19050</xdr:rowOff>
              </from>
              <to>
                <xdr:col>2</xdr:col>
                <xdr:colOff>409575</xdr:colOff>
                <xdr:row>88</xdr:row>
                <xdr:rowOff>142875</xdr:rowOff>
              </to>
            </anchor>
          </controlPr>
        </control>
      </mc:Choice>
      <mc:Fallback>
        <control shapeId="2140" r:id="rId90" name="VarErr86"/>
      </mc:Fallback>
    </mc:AlternateContent>
    <mc:AlternateContent xmlns:mc="http://schemas.openxmlformats.org/markup-compatibility/2006">
      <mc:Choice Requires="x14">
        <control shapeId="2141" r:id="rId91" name="VarErr87">
          <controlPr defaultSize="0" autoLine="0" r:id="rId5">
            <anchor moveWithCells="1">
              <from>
                <xdr:col>2</xdr:col>
                <xdr:colOff>247650</xdr:colOff>
                <xdr:row>89</xdr:row>
                <xdr:rowOff>19050</xdr:rowOff>
              </from>
              <to>
                <xdr:col>2</xdr:col>
                <xdr:colOff>409575</xdr:colOff>
                <xdr:row>89</xdr:row>
                <xdr:rowOff>142875</xdr:rowOff>
              </to>
            </anchor>
          </controlPr>
        </control>
      </mc:Choice>
      <mc:Fallback>
        <control shapeId="2141" r:id="rId91" name="VarErr87"/>
      </mc:Fallback>
    </mc:AlternateContent>
    <mc:AlternateContent xmlns:mc="http://schemas.openxmlformats.org/markup-compatibility/2006">
      <mc:Choice Requires="x14">
        <control shapeId="2142" r:id="rId92" name="VarErr88">
          <controlPr defaultSize="0" autoLine="0" r:id="rId5">
            <anchor moveWithCells="1">
              <from>
                <xdr:col>2</xdr:col>
                <xdr:colOff>247650</xdr:colOff>
                <xdr:row>90</xdr:row>
                <xdr:rowOff>19050</xdr:rowOff>
              </from>
              <to>
                <xdr:col>2</xdr:col>
                <xdr:colOff>409575</xdr:colOff>
                <xdr:row>90</xdr:row>
                <xdr:rowOff>142875</xdr:rowOff>
              </to>
            </anchor>
          </controlPr>
        </control>
      </mc:Choice>
      <mc:Fallback>
        <control shapeId="2142" r:id="rId92" name="VarErr88"/>
      </mc:Fallback>
    </mc:AlternateContent>
    <mc:AlternateContent xmlns:mc="http://schemas.openxmlformats.org/markup-compatibility/2006">
      <mc:Choice Requires="x14">
        <control shapeId="2143" r:id="rId93" name="VarErr89">
          <controlPr defaultSize="0" autoLine="0" r:id="rId5">
            <anchor moveWithCells="1">
              <from>
                <xdr:col>2</xdr:col>
                <xdr:colOff>247650</xdr:colOff>
                <xdr:row>91</xdr:row>
                <xdr:rowOff>19050</xdr:rowOff>
              </from>
              <to>
                <xdr:col>2</xdr:col>
                <xdr:colOff>409575</xdr:colOff>
                <xdr:row>91</xdr:row>
                <xdr:rowOff>142875</xdr:rowOff>
              </to>
            </anchor>
          </controlPr>
        </control>
      </mc:Choice>
      <mc:Fallback>
        <control shapeId="2143" r:id="rId93" name="VarErr89"/>
      </mc:Fallback>
    </mc:AlternateContent>
    <mc:AlternateContent xmlns:mc="http://schemas.openxmlformats.org/markup-compatibility/2006">
      <mc:Choice Requires="x14">
        <control shapeId="2144" r:id="rId94" name="VarPreSelect1">
          <controlPr defaultSize="0" autoLine="0" r:id="rId5">
            <anchor moveWithCells="1">
              <from>
                <xdr:col>3</xdr:col>
                <xdr:colOff>247650</xdr:colOff>
                <xdr:row>3</xdr:row>
                <xdr:rowOff>19050</xdr:rowOff>
              </from>
              <to>
                <xdr:col>3</xdr:col>
                <xdr:colOff>409575</xdr:colOff>
                <xdr:row>3</xdr:row>
                <xdr:rowOff>142875</xdr:rowOff>
              </to>
            </anchor>
          </controlPr>
        </control>
      </mc:Choice>
      <mc:Fallback>
        <control shapeId="2144" r:id="rId94" name="VarPreSelect1"/>
      </mc:Fallback>
    </mc:AlternateContent>
    <mc:AlternateContent xmlns:mc="http://schemas.openxmlformats.org/markup-compatibility/2006">
      <mc:Choice Requires="x14">
        <control shapeId="2145" r:id="rId95" name="VarPreSelect2">
          <controlPr defaultSize="0" autoLine="0" r:id="rId5">
            <anchor moveWithCells="1">
              <from>
                <xdr:col>3</xdr:col>
                <xdr:colOff>247650</xdr:colOff>
                <xdr:row>4</xdr:row>
                <xdr:rowOff>19050</xdr:rowOff>
              </from>
              <to>
                <xdr:col>3</xdr:col>
                <xdr:colOff>409575</xdr:colOff>
                <xdr:row>4</xdr:row>
                <xdr:rowOff>142875</xdr:rowOff>
              </to>
            </anchor>
          </controlPr>
        </control>
      </mc:Choice>
      <mc:Fallback>
        <control shapeId="2145" r:id="rId95" name="VarPreSelect2"/>
      </mc:Fallback>
    </mc:AlternateContent>
    <mc:AlternateContent xmlns:mc="http://schemas.openxmlformats.org/markup-compatibility/2006">
      <mc:Choice Requires="x14">
        <control shapeId="2146" r:id="rId96" name="VarPreSelect3">
          <controlPr defaultSize="0" autoLine="0" r:id="rId5">
            <anchor moveWithCells="1">
              <from>
                <xdr:col>3</xdr:col>
                <xdr:colOff>247650</xdr:colOff>
                <xdr:row>5</xdr:row>
                <xdr:rowOff>19050</xdr:rowOff>
              </from>
              <to>
                <xdr:col>3</xdr:col>
                <xdr:colOff>409575</xdr:colOff>
                <xdr:row>5</xdr:row>
                <xdr:rowOff>142875</xdr:rowOff>
              </to>
            </anchor>
          </controlPr>
        </control>
      </mc:Choice>
      <mc:Fallback>
        <control shapeId="2146" r:id="rId96" name="VarPreSelect3"/>
      </mc:Fallback>
    </mc:AlternateContent>
    <mc:AlternateContent xmlns:mc="http://schemas.openxmlformats.org/markup-compatibility/2006">
      <mc:Choice Requires="x14">
        <control shapeId="2147" r:id="rId97" name="VarPreSelect4">
          <controlPr defaultSize="0" autoLine="0" r:id="rId5">
            <anchor moveWithCells="1">
              <from>
                <xdr:col>3</xdr:col>
                <xdr:colOff>247650</xdr:colOff>
                <xdr:row>6</xdr:row>
                <xdr:rowOff>19050</xdr:rowOff>
              </from>
              <to>
                <xdr:col>3</xdr:col>
                <xdr:colOff>409575</xdr:colOff>
                <xdr:row>6</xdr:row>
                <xdr:rowOff>142875</xdr:rowOff>
              </to>
            </anchor>
          </controlPr>
        </control>
      </mc:Choice>
      <mc:Fallback>
        <control shapeId="2147" r:id="rId97" name="VarPreSelect4"/>
      </mc:Fallback>
    </mc:AlternateContent>
    <mc:AlternateContent xmlns:mc="http://schemas.openxmlformats.org/markup-compatibility/2006">
      <mc:Choice Requires="x14">
        <control shapeId="2148" r:id="rId98" name="VarPreSelect5">
          <controlPr defaultSize="0" autoLine="0" r:id="rId5">
            <anchor moveWithCells="1">
              <from>
                <xdr:col>3</xdr:col>
                <xdr:colOff>247650</xdr:colOff>
                <xdr:row>7</xdr:row>
                <xdr:rowOff>19050</xdr:rowOff>
              </from>
              <to>
                <xdr:col>3</xdr:col>
                <xdr:colOff>409575</xdr:colOff>
                <xdr:row>7</xdr:row>
                <xdr:rowOff>142875</xdr:rowOff>
              </to>
            </anchor>
          </controlPr>
        </control>
      </mc:Choice>
      <mc:Fallback>
        <control shapeId="2148" r:id="rId98" name="VarPreSelect5"/>
      </mc:Fallback>
    </mc:AlternateContent>
    <mc:AlternateContent xmlns:mc="http://schemas.openxmlformats.org/markup-compatibility/2006">
      <mc:Choice Requires="x14">
        <control shapeId="2149" r:id="rId99" name="VarPreSelect6">
          <controlPr defaultSize="0" autoLine="0" r:id="rId5">
            <anchor moveWithCells="1">
              <from>
                <xdr:col>3</xdr:col>
                <xdr:colOff>247650</xdr:colOff>
                <xdr:row>8</xdr:row>
                <xdr:rowOff>19050</xdr:rowOff>
              </from>
              <to>
                <xdr:col>3</xdr:col>
                <xdr:colOff>409575</xdr:colOff>
                <xdr:row>8</xdr:row>
                <xdr:rowOff>142875</xdr:rowOff>
              </to>
            </anchor>
          </controlPr>
        </control>
      </mc:Choice>
      <mc:Fallback>
        <control shapeId="2149" r:id="rId99" name="VarPreSelect6"/>
      </mc:Fallback>
    </mc:AlternateContent>
    <mc:AlternateContent xmlns:mc="http://schemas.openxmlformats.org/markup-compatibility/2006">
      <mc:Choice Requires="x14">
        <control shapeId="2150" r:id="rId100" name="VarPreSelect7">
          <controlPr defaultSize="0" autoLine="0" r:id="rId5">
            <anchor moveWithCells="1">
              <from>
                <xdr:col>3</xdr:col>
                <xdr:colOff>247650</xdr:colOff>
                <xdr:row>9</xdr:row>
                <xdr:rowOff>19050</xdr:rowOff>
              </from>
              <to>
                <xdr:col>3</xdr:col>
                <xdr:colOff>409575</xdr:colOff>
                <xdr:row>9</xdr:row>
                <xdr:rowOff>142875</xdr:rowOff>
              </to>
            </anchor>
          </controlPr>
        </control>
      </mc:Choice>
      <mc:Fallback>
        <control shapeId="2150" r:id="rId100" name="VarPreSelect7"/>
      </mc:Fallback>
    </mc:AlternateContent>
    <mc:AlternateContent xmlns:mc="http://schemas.openxmlformats.org/markup-compatibility/2006">
      <mc:Choice Requires="x14">
        <control shapeId="2151" r:id="rId101" name="VarPreSelect8">
          <controlPr defaultSize="0" autoLine="0" r:id="rId5">
            <anchor moveWithCells="1">
              <from>
                <xdr:col>3</xdr:col>
                <xdr:colOff>247650</xdr:colOff>
                <xdr:row>10</xdr:row>
                <xdr:rowOff>19050</xdr:rowOff>
              </from>
              <to>
                <xdr:col>3</xdr:col>
                <xdr:colOff>409575</xdr:colOff>
                <xdr:row>10</xdr:row>
                <xdr:rowOff>142875</xdr:rowOff>
              </to>
            </anchor>
          </controlPr>
        </control>
      </mc:Choice>
      <mc:Fallback>
        <control shapeId="2151" r:id="rId101" name="VarPreSelect8"/>
      </mc:Fallback>
    </mc:AlternateContent>
    <mc:AlternateContent xmlns:mc="http://schemas.openxmlformats.org/markup-compatibility/2006">
      <mc:Choice Requires="x14">
        <control shapeId="2152" r:id="rId102" name="VarPreSelect9">
          <controlPr defaultSize="0" autoLine="0" r:id="rId5">
            <anchor moveWithCells="1">
              <from>
                <xdr:col>3</xdr:col>
                <xdr:colOff>247650</xdr:colOff>
                <xdr:row>11</xdr:row>
                <xdr:rowOff>19050</xdr:rowOff>
              </from>
              <to>
                <xdr:col>3</xdr:col>
                <xdr:colOff>409575</xdr:colOff>
                <xdr:row>11</xdr:row>
                <xdr:rowOff>142875</xdr:rowOff>
              </to>
            </anchor>
          </controlPr>
        </control>
      </mc:Choice>
      <mc:Fallback>
        <control shapeId="2152" r:id="rId102" name="VarPreSelect9"/>
      </mc:Fallback>
    </mc:AlternateContent>
    <mc:AlternateContent xmlns:mc="http://schemas.openxmlformats.org/markup-compatibility/2006">
      <mc:Choice Requires="x14">
        <control shapeId="2153" r:id="rId103" name="VarPreSelect10">
          <controlPr defaultSize="0" autoLine="0" r:id="rId5">
            <anchor moveWithCells="1">
              <from>
                <xdr:col>3</xdr:col>
                <xdr:colOff>247650</xdr:colOff>
                <xdr:row>12</xdr:row>
                <xdr:rowOff>19050</xdr:rowOff>
              </from>
              <to>
                <xdr:col>3</xdr:col>
                <xdr:colOff>409575</xdr:colOff>
                <xdr:row>12</xdr:row>
                <xdr:rowOff>142875</xdr:rowOff>
              </to>
            </anchor>
          </controlPr>
        </control>
      </mc:Choice>
      <mc:Fallback>
        <control shapeId="2153" r:id="rId103" name="VarPreSelect10"/>
      </mc:Fallback>
    </mc:AlternateContent>
    <mc:AlternateContent xmlns:mc="http://schemas.openxmlformats.org/markup-compatibility/2006">
      <mc:Choice Requires="x14">
        <control shapeId="2154" r:id="rId104" name="VarPreSelect11">
          <controlPr defaultSize="0" autoLine="0" r:id="rId5">
            <anchor moveWithCells="1">
              <from>
                <xdr:col>3</xdr:col>
                <xdr:colOff>247650</xdr:colOff>
                <xdr:row>13</xdr:row>
                <xdr:rowOff>19050</xdr:rowOff>
              </from>
              <to>
                <xdr:col>3</xdr:col>
                <xdr:colOff>409575</xdr:colOff>
                <xdr:row>13</xdr:row>
                <xdr:rowOff>142875</xdr:rowOff>
              </to>
            </anchor>
          </controlPr>
        </control>
      </mc:Choice>
      <mc:Fallback>
        <control shapeId="2154" r:id="rId104" name="VarPreSelect11"/>
      </mc:Fallback>
    </mc:AlternateContent>
    <mc:AlternateContent xmlns:mc="http://schemas.openxmlformats.org/markup-compatibility/2006">
      <mc:Choice Requires="x14">
        <control shapeId="2155" r:id="rId105" name="VarPreSelect12">
          <controlPr defaultSize="0" autoLine="0" r:id="rId5">
            <anchor moveWithCells="1">
              <from>
                <xdr:col>3</xdr:col>
                <xdr:colOff>247650</xdr:colOff>
                <xdr:row>14</xdr:row>
                <xdr:rowOff>19050</xdr:rowOff>
              </from>
              <to>
                <xdr:col>3</xdr:col>
                <xdr:colOff>409575</xdr:colOff>
                <xdr:row>14</xdr:row>
                <xdr:rowOff>142875</xdr:rowOff>
              </to>
            </anchor>
          </controlPr>
        </control>
      </mc:Choice>
      <mc:Fallback>
        <control shapeId="2155" r:id="rId105" name="VarPreSelect12"/>
      </mc:Fallback>
    </mc:AlternateContent>
    <mc:AlternateContent xmlns:mc="http://schemas.openxmlformats.org/markup-compatibility/2006">
      <mc:Choice Requires="x14">
        <control shapeId="2156" r:id="rId106" name="VarPreSelect13">
          <controlPr defaultSize="0" autoLine="0" r:id="rId5">
            <anchor moveWithCells="1">
              <from>
                <xdr:col>3</xdr:col>
                <xdr:colOff>247650</xdr:colOff>
                <xdr:row>15</xdr:row>
                <xdr:rowOff>19050</xdr:rowOff>
              </from>
              <to>
                <xdr:col>3</xdr:col>
                <xdr:colOff>409575</xdr:colOff>
                <xdr:row>15</xdr:row>
                <xdr:rowOff>142875</xdr:rowOff>
              </to>
            </anchor>
          </controlPr>
        </control>
      </mc:Choice>
      <mc:Fallback>
        <control shapeId="2156" r:id="rId106" name="VarPreSelect13"/>
      </mc:Fallback>
    </mc:AlternateContent>
    <mc:AlternateContent xmlns:mc="http://schemas.openxmlformats.org/markup-compatibility/2006">
      <mc:Choice Requires="x14">
        <control shapeId="2157" r:id="rId107" name="VarPreSelect14">
          <controlPr defaultSize="0" autoLine="0" r:id="rId5">
            <anchor moveWithCells="1">
              <from>
                <xdr:col>3</xdr:col>
                <xdr:colOff>247650</xdr:colOff>
                <xdr:row>16</xdr:row>
                <xdr:rowOff>19050</xdr:rowOff>
              </from>
              <to>
                <xdr:col>3</xdr:col>
                <xdr:colOff>409575</xdr:colOff>
                <xdr:row>16</xdr:row>
                <xdr:rowOff>142875</xdr:rowOff>
              </to>
            </anchor>
          </controlPr>
        </control>
      </mc:Choice>
      <mc:Fallback>
        <control shapeId="2157" r:id="rId107" name="VarPreSelect14"/>
      </mc:Fallback>
    </mc:AlternateContent>
    <mc:AlternateContent xmlns:mc="http://schemas.openxmlformats.org/markup-compatibility/2006">
      <mc:Choice Requires="x14">
        <control shapeId="2158" r:id="rId108" name="VarPreSelect15">
          <controlPr defaultSize="0" autoLine="0" r:id="rId5">
            <anchor moveWithCells="1">
              <from>
                <xdr:col>3</xdr:col>
                <xdr:colOff>247650</xdr:colOff>
                <xdr:row>17</xdr:row>
                <xdr:rowOff>19050</xdr:rowOff>
              </from>
              <to>
                <xdr:col>3</xdr:col>
                <xdr:colOff>409575</xdr:colOff>
                <xdr:row>17</xdr:row>
                <xdr:rowOff>142875</xdr:rowOff>
              </to>
            </anchor>
          </controlPr>
        </control>
      </mc:Choice>
      <mc:Fallback>
        <control shapeId="2158" r:id="rId108" name="VarPreSelect15"/>
      </mc:Fallback>
    </mc:AlternateContent>
    <mc:AlternateContent xmlns:mc="http://schemas.openxmlformats.org/markup-compatibility/2006">
      <mc:Choice Requires="x14">
        <control shapeId="2159" r:id="rId109" name="VarPreSelect16">
          <controlPr defaultSize="0" autoLine="0" r:id="rId5">
            <anchor moveWithCells="1">
              <from>
                <xdr:col>3</xdr:col>
                <xdr:colOff>247650</xdr:colOff>
                <xdr:row>18</xdr:row>
                <xdr:rowOff>19050</xdr:rowOff>
              </from>
              <to>
                <xdr:col>3</xdr:col>
                <xdr:colOff>409575</xdr:colOff>
                <xdr:row>18</xdr:row>
                <xdr:rowOff>142875</xdr:rowOff>
              </to>
            </anchor>
          </controlPr>
        </control>
      </mc:Choice>
      <mc:Fallback>
        <control shapeId="2159" r:id="rId109" name="VarPreSelect16"/>
      </mc:Fallback>
    </mc:AlternateContent>
    <mc:AlternateContent xmlns:mc="http://schemas.openxmlformats.org/markup-compatibility/2006">
      <mc:Choice Requires="x14">
        <control shapeId="2160" r:id="rId110" name="VarPreSelect17">
          <controlPr defaultSize="0" autoLine="0" r:id="rId5">
            <anchor moveWithCells="1">
              <from>
                <xdr:col>3</xdr:col>
                <xdr:colOff>247650</xdr:colOff>
                <xdr:row>19</xdr:row>
                <xdr:rowOff>19050</xdr:rowOff>
              </from>
              <to>
                <xdr:col>3</xdr:col>
                <xdr:colOff>409575</xdr:colOff>
                <xdr:row>19</xdr:row>
                <xdr:rowOff>142875</xdr:rowOff>
              </to>
            </anchor>
          </controlPr>
        </control>
      </mc:Choice>
      <mc:Fallback>
        <control shapeId="2160" r:id="rId110" name="VarPreSelect17"/>
      </mc:Fallback>
    </mc:AlternateContent>
    <mc:AlternateContent xmlns:mc="http://schemas.openxmlformats.org/markup-compatibility/2006">
      <mc:Choice Requires="x14">
        <control shapeId="2161" r:id="rId111" name="VarPreSelect18">
          <controlPr defaultSize="0" autoLine="0" r:id="rId5">
            <anchor moveWithCells="1">
              <from>
                <xdr:col>3</xdr:col>
                <xdr:colOff>247650</xdr:colOff>
                <xdr:row>20</xdr:row>
                <xdr:rowOff>19050</xdr:rowOff>
              </from>
              <to>
                <xdr:col>3</xdr:col>
                <xdr:colOff>409575</xdr:colOff>
                <xdr:row>20</xdr:row>
                <xdr:rowOff>142875</xdr:rowOff>
              </to>
            </anchor>
          </controlPr>
        </control>
      </mc:Choice>
      <mc:Fallback>
        <control shapeId="2161" r:id="rId111" name="VarPreSelect18"/>
      </mc:Fallback>
    </mc:AlternateContent>
    <mc:AlternateContent xmlns:mc="http://schemas.openxmlformats.org/markup-compatibility/2006">
      <mc:Choice Requires="x14">
        <control shapeId="2162" r:id="rId112" name="VarPreSelect19">
          <controlPr defaultSize="0" autoLine="0" r:id="rId5">
            <anchor moveWithCells="1">
              <from>
                <xdr:col>3</xdr:col>
                <xdr:colOff>247650</xdr:colOff>
                <xdr:row>21</xdr:row>
                <xdr:rowOff>19050</xdr:rowOff>
              </from>
              <to>
                <xdr:col>3</xdr:col>
                <xdr:colOff>409575</xdr:colOff>
                <xdr:row>21</xdr:row>
                <xdr:rowOff>142875</xdr:rowOff>
              </to>
            </anchor>
          </controlPr>
        </control>
      </mc:Choice>
      <mc:Fallback>
        <control shapeId="2162" r:id="rId112" name="VarPreSelect19"/>
      </mc:Fallback>
    </mc:AlternateContent>
    <mc:AlternateContent xmlns:mc="http://schemas.openxmlformats.org/markup-compatibility/2006">
      <mc:Choice Requires="x14">
        <control shapeId="2163" r:id="rId113" name="VarPreSelect20">
          <controlPr defaultSize="0" autoLine="0" r:id="rId5">
            <anchor moveWithCells="1">
              <from>
                <xdr:col>3</xdr:col>
                <xdr:colOff>247650</xdr:colOff>
                <xdr:row>22</xdr:row>
                <xdr:rowOff>19050</xdr:rowOff>
              </from>
              <to>
                <xdr:col>3</xdr:col>
                <xdr:colOff>409575</xdr:colOff>
                <xdr:row>22</xdr:row>
                <xdr:rowOff>142875</xdr:rowOff>
              </to>
            </anchor>
          </controlPr>
        </control>
      </mc:Choice>
      <mc:Fallback>
        <control shapeId="2163" r:id="rId113" name="VarPreSelect20"/>
      </mc:Fallback>
    </mc:AlternateContent>
    <mc:AlternateContent xmlns:mc="http://schemas.openxmlformats.org/markup-compatibility/2006">
      <mc:Choice Requires="x14">
        <control shapeId="2164" r:id="rId114" name="VarPreSelect21">
          <controlPr defaultSize="0" autoLine="0" r:id="rId5">
            <anchor moveWithCells="1">
              <from>
                <xdr:col>3</xdr:col>
                <xdr:colOff>247650</xdr:colOff>
                <xdr:row>23</xdr:row>
                <xdr:rowOff>19050</xdr:rowOff>
              </from>
              <to>
                <xdr:col>3</xdr:col>
                <xdr:colOff>409575</xdr:colOff>
                <xdr:row>23</xdr:row>
                <xdr:rowOff>142875</xdr:rowOff>
              </to>
            </anchor>
          </controlPr>
        </control>
      </mc:Choice>
      <mc:Fallback>
        <control shapeId="2164" r:id="rId114" name="VarPreSelect21"/>
      </mc:Fallback>
    </mc:AlternateContent>
    <mc:AlternateContent xmlns:mc="http://schemas.openxmlformats.org/markup-compatibility/2006">
      <mc:Choice Requires="x14">
        <control shapeId="2165" r:id="rId115" name="VarPreSelect22">
          <controlPr defaultSize="0" autoLine="0" r:id="rId5">
            <anchor moveWithCells="1">
              <from>
                <xdr:col>3</xdr:col>
                <xdr:colOff>247650</xdr:colOff>
                <xdr:row>24</xdr:row>
                <xdr:rowOff>19050</xdr:rowOff>
              </from>
              <to>
                <xdr:col>3</xdr:col>
                <xdr:colOff>409575</xdr:colOff>
                <xdr:row>24</xdr:row>
                <xdr:rowOff>142875</xdr:rowOff>
              </to>
            </anchor>
          </controlPr>
        </control>
      </mc:Choice>
      <mc:Fallback>
        <control shapeId="2165" r:id="rId115" name="VarPreSelect22"/>
      </mc:Fallback>
    </mc:AlternateContent>
    <mc:AlternateContent xmlns:mc="http://schemas.openxmlformats.org/markup-compatibility/2006">
      <mc:Choice Requires="x14">
        <control shapeId="2166" r:id="rId116" name="VarPreSelect23">
          <controlPr defaultSize="0" autoLine="0" r:id="rId5">
            <anchor moveWithCells="1">
              <from>
                <xdr:col>3</xdr:col>
                <xdr:colOff>247650</xdr:colOff>
                <xdr:row>25</xdr:row>
                <xdr:rowOff>19050</xdr:rowOff>
              </from>
              <to>
                <xdr:col>3</xdr:col>
                <xdr:colOff>409575</xdr:colOff>
                <xdr:row>25</xdr:row>
                <xdr:rowOff>142875</xdr:rowOff>
              </to>
            </anchor>
          </controlPr>
        </control>
      </mc:Choice>
      <mc:Fallback>
        <control shapeId="2166" r:id="rId116" name="VarPreSelect23"/>
      </mc:Fallback>
    </mc:AlternateContent>
    <mc:AlternateContent xmlns:mc="http://schemas.openxmlformats.org/markup-compatibility/2006">
      <mc:Choice Requires="x14">
        <control shapeId="2167" r:id="rId117" name="VarPreSelect24">
          <controlPr defaultSize="0" autoLine="0" r:id="rId5">
            <anchor moveWithCells="1">
              <from>
                <xdr:col>3</xdr:col>
                <xdr:colOff>247650</xdr:colOff>
                <xdr:row>26</xdr:row>
                <xdr:rowOff>19050</xdr:rowOff>
              </from>
              <to>
                <xdr:col>3</xdr:col>
                <xdr:colOff>409575</xdr:colOff>
                <xdr:row>26</xdr:row>
                <xdr:rowOff>142875</xdr:rowOff>
              </to>
            </anchor>
          </controlPr>
        </control>
      </mc:Choice>
      <mc:Fallback>
        <control shapeId="2167" r:id="rId117" name="VarPreSelect24"/>
      </mc:Fallback>
    </mc:AlternateContent>
    <mc:AlternateContent xmlns:mc="http://schemas.openxmlformats.org/markup-compatibility/2006">
      <mc:Choice Requires="x14">
        <control shapeId="2168" r:id="rId118" name="VarPreSelect25">
          <controlPr defaultSize="0" autoLine="0" r:id="rId5">
            <anchor moveWithCells="1">
              <from>
                <xdr:col>3</xdr:col>
                <xdr:colOff>247650</xdr:colOff>
                <xdr:row>27</xdr:row>
                <xdr:rowOff>19050</xdr:rowOff>
              </from>
              <to>
                <xdr:col>3</xdr:col>
                <xdr:colOff>409575</xdr:colOff>
                <xdr:row>27</xdr:row>
                <xdr:rowOff>142875</xdr:rowOff>
              </to>
            </anchor>
          </controlPr>
        </control>
      </mc:Choice>
      <mc:Fallback>
        <control shapeId="2168" r:id="rId118" name="VarPreSelect25"/>
      </mc:Fallback>
    </mc:AlternateContent>
    <mc:AlternateContent xmlns:mc="http://schemas.openxmlformats.org/markup-compatibility/2006">
      <mc:Choice Requires="x14">
        <control shapeId="2169" r:id="rId119" name="VarPreSelect26">
          <controlPr defaultSize="0" autoLine="0" r:id="rId5">
            <anchor moveWithCells="1">
              <from>
                <xdr:col>3</xdr:col>
                <xdr:colOff>247650</xdr:colOff>
                <xdr:row>28</xdr:row>
                <xdr:rowOff>19050</xdr:rowOff>
              </from>
              <to>
                <xdr:col>3</xdr:col>
                <xdr:colOff>409575</xdr:colOff>
                <xdr:row>28</xdr:row>
                <xdr:rowOff>142875</xdr:rowOff>
              </to>
            </anchor>
          </controlPr>
        </control>
      </mc:Choice>
      <mc:Fallback>
        <control shapeId="2169" r:id="rId119" name="VarPreSelect26"/>
      </mc:Fallback>
    </mc:AlternateContent>
    <mc:AlternateContent xmlns:mc="http://schemas.openxmlformats.org/markup-compatibility/2006">
      <mc:Choice Requires="x14">
        <control shapeId="2170" r:id="rId120" name="VarPreSelect27">
          <controlPr defaultSize="0" autoLine="0" r:id="rId5">
            <anchor moveWithCells="1">
              <from>
                <xdr:col>3</xdr:col>
                <xdr:colOff>247650</xdr:colOff>
                <xdr:row>29</xdr:row>
                <xdr:rowOff>19050</xdr:rowOff>
              </from>
              <to>
                <xdr:col>3</xdr:col>
                <xdr:colOff>409575</xdr:colOff>
                <xdr:row>29</xdr:row>
                <xdr:rowOff>142875</xdr:rowOff>
              </to>
            </anchor>
          </controlPr>
        </control>
      </mc:Choice>
      <mc:Fallback>
        <control shapeId="2170" r:id="rId120" name="VarPreSelect27"/>
      </mc:Fallback>
    </mc:AlternateContent>
    <mc:AlternateContent xmlns:mc="http://schemas.openxmlformats.org/markup-compatibility/2006">
      <mc:Choice Requires="x14">
        <control shapeId="2171" r:id="rId121" name="VarPreSelect28">
          <controlPr defaultSize="0" autoLine="0" r:id="rId5">
            <anchor moveWithCells="1">
              <from>
                <xdr:col>3</xdr:col>
                <xdr:colOff>247650</xdr:colOff>
                <xdr:row>30</xdr:row>
                <xdr:rowOff>19050</xdr:rowOff>
              </from>
              <to>
                <xdr:col>3</xdr:col>
                <xdr:colOff>409575</xdr:colOff>
                <xdr:row>30</xdr:row>
                <xdr:rowOff>142875</xdr:rowOff>
              </to>
            </anchor>
          </controlPr>
        </control>
      </mc:Choice>
      <mc:Fallback>
        <control shapeId="2171" r:id="rId121" name="VarPreSelect28"/>
      </mc:Fallback>
    </mc:AlternateContent>
    <mc:AlternateContent xmlns:mc="http://schemas.openxmlformats.org/markup-compatibility/2006">
      <mc:Choice Requires="x14">
        <control shapeId="2172" r:id="rId122" name="VarPreSelect29">
          <controlPr defaultSize="0" autoLine="0" r:id="rId5">
            <anchor moveWithCells="1">
              <from>
                <xdr:col>3</xdr:col>
                <xdr:colOff>247650</xdr:colOff>
                <xdr:row>31</xdr:row>
                <xdr:rowOff>19050</xdr:rowOff>
              </from>
              <to>
                <xdr:col>3</xdr:col>
                <xdr:colOff>409575</xdr:colOff>
                <xdr:row>31</xdr:row>
                <xdr:rowOff>142875</xdr:rowOff>
              </to>
            </anchor>
          </controlPr>
        </control>
      </mc:Choice>
      <mc:Fallback>
        <control shapeId="2172" r:id="rId122" name="VarPreSelect29"/>
      </mc:Fallback>
    </mc:AlternateContent>
    <mc:AlternateContent xmlns:mc="http://schemas.openxmlformats.org/markup-compatibility/2006">
      <mc:Choice Requires="x14">
        <control shapeId="2173" r:id="rId123" name="VarPreSelect30">
          <controlPr defaultSize="0" autoLine="0" r:id="rId5">
            <anchor moveWithCells="1">
              <from>
                <xdr:col>3</xdr:col>
                <xdr:colOff>247650</xdr:colOff>
                <xdr:row>32</xdr:row>
                <xdr:rowOff>19050</xdr:rowOff>
              </from>
              <to>
                <xdr:col>3</xdr:col>
                <xdr:colOff>409575</xdr:colOff>
                <xdr:row>32</xdr:row>
                <xdr:rowOff>142875</xdr:rowOff>
              </to>
            </anchor>
          </controlPr>
        </control>
      </mc:Choice>
      <mc:Fallback>
        <control shapeId="2173" r:id="rId123" name="VarPreSelect30"/>
      </mc:Fallback>
    </mc:AlternateContent>
    <mc:AlternateContent xmlns:mc="http://schemas.openxmlformats.org/markup-compatibility/2006">
      <mc:Choice Requires="x14">
        <control shapeId="2174" r:id="rId124" name="VarPreSelect31">
          <controlPr defaultSize="0" autoLine="0" r:id="rId5">
            <anchor moveWithCells="1">
              <from>
                <xdr:col>3</xdr:col>
                <xdr:colOff>247650</xdr:colOff>
                <xdr:row>33</xdr:row>
                <xdr:rowOff>19050</xdr:rowOff>
              </from>
              <to>
                <xdr:col>3</xdr:col>
                <xdr:colOff>409575</xdr:colOff>
                <xdr:row>33</xdr:row>
                <xdr:rowOff>142875</xdr:rowOff>
              </to>
            </anchor>
          </controlPr>
        </control>
      </mc:Choice>
      <mc:Fallback>
        <control shapeId="2174" r:id="rId124" name="VarPreSelect31"/>
      </mc:Fallback>
    </mc:AlternateContent>
    <mc:AlternateContent xmlns:mc="http://schemas.openxmlformats.org/markup-compatibility/2006">
      <mc:Choice Requires="x14">
        <control shapeId="2175" r:id="rId125" name="VarPreSelect32">
          <controlPr defaultSize="0" autoLine="0" r:id="rId5">
            <anchor moveWithCells="1">
              <from>
                <xdr:col>3</xdr:col>
                <xdr:colOff>247650</xdr:colOff>
                <xdr:row>34</xdr:row>
                <xdr:rowOff>19050</xdr:rowOff>
              </from>
              <to>
                <xdr:col>3</xdr:col>
                <xdr:colOff>409575</xdr:colOff>
                <xdr:row>34</xdr:row>
                <xdr:rowOff>142875</xdr:rowOff>
              </to>
            </anchor>
          </controlPr>
        </control>
      </mc:Choice>
      <mc:Fallback>
        <control shapeId="2175" r:id="rId125" name="VarPreSelect32"/>
      </mc:Fallback>
    </mc:AlternateContent>
    <mc:AlternateContent xmlns:mc="http://schemas.openxmlformats.org/markup-compatibility/2006">
      <mc:Choice Requires="x14">
        <control shapeId="2176" r:id="rId126" name="VarPreSelect33">
          <controlPr defaultSize="0" autoLine="0" r:id="rId5">
            <anchor moveWithCells="1">
              <from>
                <xdr:col>3</xdr:col>
                <xdr:colOff>247650</xdr:colOff>
                <xdr:row>35</xdr:row>
                <xdr:rowOff>19050</xdr:rowOff>
              </from>
              <to>
                <xdr:col>3</xdr:col>
                <xdr:colOff>409575</xdr:colOff>
                <xdr:row>35</xdr:row>
                <xdr:rowOff>142875</xdr:rowOff>
              </to>
            </anchor>
          </controlPr>
        </control>
      </mc:Choice>
      <mc:Fallback>
        <control shapeId="2176" r:id="rId126" name="VarPreSelect33"/>
      </mc:Fallback>
    </mc:AlternateContent>
    <mc:AlternateContent xmlns:mc="http://schemas.openxmlformats.org/markup-compatibility/2006">
      <mc:Choice Requires="x14">
        <control shapeId="2177" r:id="rId127" name="VarPreSelect34">
          <controlPr defaultSize="0" autoLine="0" r:id="rId5">
            <anchor moveWithCells="1">
              <from>
                <xdr:col>3</xdr:col>
                <xdr:colOff>247650</xdr:colOff>
                <xdr:row>36</xdr:row>
                <xdr:rowOff>19050</xdr:rowOff>
              </from>
              <to>
                <xdr:col>3</xdr:col>
                <xdr:colOff>409575</xdr:colOff>
                <xdr:row>36</xdr:row>
                <xdr:rowOff>142875</xdr:rowOff>
              </to>
            </anchor>
          </controlPr>
        </control>
      </mc:Choice>
      <mc:Fallback>
        <control shapeId="2177" r:id="rId127" name="VarPreSelect34"/>
      </mc:Fallback>
    </mc:AlternateContent>
    <mc:AlternateContent xmlns:mc="http://schemas.openxmlformats.org/markup-compatibility/2006">
      <mc:Choice Requires="x14">
        <control shapeId="2178" r:id="rId128" name="VarPreSelect35">
          <controlPr defaultSize="0" autoLine="0" r:id="rId5">
            <anchor moveWithCells="1">
              <from>
                <xdr:col>3</xdr:col>
                <xdr:colOff>247650</xdr:colOff>
                <xdr:row>37</xdr:row>
                <xdr:rowOff>19050</xdr:rowOff>
              </from>
              <to>
                <xdr:col>3</xdr:col>
                <xdr:colOff>409575</xdr:colOff>
                <xdr:row>37</xdr:row>
                <xdr:rowOff>142875</xdr:rowOff>
              </to>
            </anchor>
          </controlPr>
        </control>
      </mc:Choice>
      <mc:Fallback>
        <control shapeId="2178" r:id="rId128" name="VarPreSelect35"/>
      </mc:Fallback>
    </mc:AlternateContent>
    <mc:AlternateContent xmlns:mc="http://schemas.openxmlformats.org/markup-compatibility/2006">
      <mc:Choice Requires="x14">
        <control shapeId="2179" r:id="rId129" name="VarPreSelect36">
          <controlPr defaultSize="0" autoLine="0" r:id="rId5">
            <anchor moveWithCells="1">
              <from>
                <xdr:col>3</xdr:col>
                <xdr:colOff>247650</xdr:colOff>
                <xdr:row>38</xdr:row>
                <xdr:rowOff>19050</xdr:rowOff>
              </from>
              <to>
                <xdr:col>3</xdr:col>
                <xdr:colOff>409575</xdr:colOff>
                <xdr:row>38</xdr:row>
                <xdr:rowOff>142875</xdr:rowOff>
              </to>
            </anchor>
          </controlPr>
        </control>
      </mc:Choice>
      <mc:Fallback>
        <control shapeId="2179" r:id="rId129" name="VarPreSelect36"/>
      </mc:Fallback>
    </mc:AlternateContent>
    <mc:AlternateContent xmlns:mc="http://schemas.openxmlformats.org/markup-compatibility/2006">
      <mc:Choice Requires="x14">
        <control shapeId="2180" r:id="rId130" name="VarPreSelect37">
          <controlPr defaultSize="0" autoLine="0" r:id="rId5">
            <anchor moveWithCells="1">
              <from>
                <xdr:col>3</xdr:col>
                <xdr:colOff>247650</xdr:colOff>
                <xdr:row>39</xdr:row>
                <xdr:rowOff>19050</xdr:rowOff>
              </from>
              <to>
                <xdr:col>3</xdr:col>
                <xdr:colOff>409575</xdr:colOff>
                <xdr:row>39</xdr:row>
                <xdr:rowOff>142875</xdr:rowOff>
              </to>
            </anchor>
          </controlPr>
        </control>
      </mc:Choice>
      <mc:Fallback>
        <control shapeId="2180" r:id="rId130" name="VarPreSelect37"/>
      </mc:Fallback>
    </mc:AlternateContent>
    <mc:AlternateContent xmlns:mc="http://schemas.openxmlformats.org/markup-compatibility/2006">
      <mc:Choice Requires="x14">
        <control shapeId="2181" r:id="rId131" name="VarPreSelect38">
          <controlPr defaultSize="0" autoLine="0" r:id="rId5">
            <anchor moveWithCells="1">
              <from>
                <xdr:col>3</xdr:col>
                <xdr:colOff>247650</xdr:colOff>
                <xdr:row>40</xdr:row>
                <xdr:rowOff>19050</xdr:rowOff>
              </from>
              <to>
                <xdr:col>3</xdr:col>
                <xdr:colOff>409575</xdr:colOff>
                <xdr:row>40</xdr:row>
                <xdr:rowOff>142875</xdr:rowOff>
              </to>
            </anchor>
          </controlPr>
        </control>
      </mc:Choice>
      <mc:Fallback>
        <control shapeId="2181" r:id="rId131" name="VarPreSelect38"/>
      </mc:Fallback>
    </mc:AlternateContent>
    <mc:AlternateContent xmlns:mc="http://schemas.openxmlformats.org/markup-compatibility/2006">
      <mc:Choice Requires="x14">
        <control shapeId="2182" r:id="rId132" name="VarPreSelect39">
          <controlPr defaultSize="0" autoLine="0" r:id="rId5">
            <anchor moveWithCells="1">
              <from>
                <xdr:col>3</xdr:col>
                <xdr:colOff>247650</xdr:colOff>
                <xdr:row>41</xdr:row>
                <xdr:rowOff>19050</xdr:rowOff>
              </from>
              <to>
                <xdr:col>3</xdr:col>
                <xdr:colOff>409575</xdr:colOff>
                <xdr:row>41</xdr:row>
                <xdr:rowOff>142875</xdr:rowOff>
              </to>
            </anchor>
          </controlPr>
        </control>
      </mc:Choice>
      <mc:Fallback>
        <control shapeId="2182" r:id="rId132" name="VarPreSelect39"/>
      </mc:Fallback>
    </mc:AlternateContent>
    <mc:AlternateContent xmlns:mc="http://schemas.openxmlformats.org/markup-compatibility/2006">
      <mc:Choice Requires="x14">
        <control shapeId="2183" r:id="rId133" name="VarPreSelect40">
          <controlPr defaultSize="0" autoLine="0" r:id="rId5">
            <anchor moveWithCells="1">
              <from>
                <xdr:col>3</xdr:col>
                <xdr:colOff>247650</xdr:colOff>
                <xdr:row>42</xdr:row>
                <xdr:rowOff>19050</xdr:rowOff>
              </from>
              <to>
                <xdr:col>3</xdr:col>
                <xdr:colOff>409575</xdr:colOff>
                <xdr:row>42</xdr:row>
                <xdr:rowOff>142875</xdr:rowOff>
              </to>
            </anchor>
          </controlPr>
        </control>
      </mc:Choice>
      <mc:Fallback>
        <control shapeId="2183" r:id="rId133" name="VarPreSelect40"/>
      </mc:Fallback>
    </mc:AlternateContent>
    <mc:AlternateContent xmlns:mc="http://schemas.openxmlformats.org/markup-compatibility/2006">
      <mc:Choice Requires="x14">
        <control shapeId="2184" r:id="rId134" name="VarPreSelect41">
          <controlPr defaultSize="0" autoLine="0" r:id="rId5">
            <anchor moveWithCells="1">
              <from>
                <xdr:col>3</xdr:col>
                <xdr:colOff>247650</xdr:colOff>
                <xdr:row>43</xdr:row>
                <xdr:rowOff>19050</xdr:rowOff>
              </from>
              <to>
                <xdr:col>3</xdr:col>
                <xdr:colOff>409575</xdr:colOff>
                <xdr:row>43</xdr:row>
                <xdr:rowOff>142875</xdr:rowOff>
              </to>
            </anchor>
          </controlPr>
        </control>
      </mc:Choice>
      <mc:Fallback>
        <control shapeId="2184" r:id="rId134" name="VarPreSelect41"/>
      </mc:Fallback>
    </mc:AlternateContent>
    <mc:AlternateContent xmlns:mc="http://schemas.openxmlformats.org/markup-compatibility/2006">
      <mc:Choice Requires="x14">
        <control shapeId="2185" r:id="rId135" name="VarPreSelect42">
          <controlPr defaultSize="0" autoLine="0" r:id="rId5">
            <anchor moveWithCells="1">
              <from>
                <xdr:col>3</xdr:col>
                <xdr:colOff>247650</xdr:colOff>
                <xdr:row>44</xdr:row>
                <xdr:rowOff>19050</xdr:rowOff>
              </from>
              <to>
                <xdr:col>3</xdr:col>
                <xdr:colOff>409575</xdr:colOff>
                <xdr:row>44</xdr:row>
                <xdr:rowOff>142875</xdr:rowOff>
              </to>
            </anchor>
          </controlPr>
        </control>
      </mc:Choice>
      <mc:Fallback>
        <control shapeId="2185" r:id="rId135" name="VarPreSelect42"/>
      </mc:Fallback>
    </mc:AlternateContent>
    <mc:AlternateContent xmlns:mc="http://schemas.openxmlformats.org/markup-compatibility/2006">
      <mc:Choice Requires="x14">
        <control shapeId="2186" r:id="rId136" name="VarPreSelect43">
          <controlPr defaultSize="0" autoLine="0" r:id="rId5">
            <anchor moveWithCells="1">
              <from>
                <xdr:col>3</xdr:col>
                <xdr:colOff>247650</xdr:colOff>
                <xdr:row>45</xdr:row>
                <xdr:rowOff>19050</xdr:rowOff>
              </from>
              <to>
                <xdr:col>3</xdr:col>
                <xdr:colOff>409575</xdr:colOff>
                <xdr:row>45</xdr:row>
                <xdr:rowOff>142875</xdr:rowOff>
              </to>
            </anchor>
          </controlPr>
        </control>
      </mc:Choice>
      <mc:Fallback>
        <control shapeId="2186" r:id="rId136" name="VarPreSelect43"/>
      </mc:Fallback>
    </mc:AlternateContent>
    <mc:AlternateContent xmlns:mc="http://schemas.openxmlformats.org/markup-compatibility/2006">
      <mc:Choice Requires="x14">
        <control shapeId="2187" r:id="rId137" name="VarPreSelect44">
          <controlPr defaultSize="0" autoLine="0" r:id="rId5">
            <anchor moveWithCells="1">
              <from>
                <xdr:col>3</xdr:col>
                <xdr:colOff>247650</xdr:colOff>
                <xdr:row>46</xdr:row>
                <xdr:rowOff>19050</xdr:rowOff>
              </from>
              <to>
                <xdr:col>3</xdr:col>
                <xdr:colOff>409575</xdr:colOff>
                <xdr:row>46</xdr:row>
                <xdr:rowOff>142875</xdr:rowOff>
              </to>
            </anchor>
          </controlPr>
        </control>
      </mc:Choice>
      <mc:Fallback>
        <control shapeId="2187" r:id="rId137" name="VarPreSelect44"/>
      </mc:Fallback>
    </mc:AlternateContent>
    <mc:AlternateContent xmlns:mc="http://schemas.openxmlformats.org/markup-compatibility/2006">
      <mc:Choice Requires="x14">
        <control shapeId="2188" r:id="rId138" name="VarPreSelect45">
          <controlPr defaultSize="0" autoLine="0" r:id="rId5">
            <anchor moveWithCells="1">
              <from>
                <xdr:col>3</xdr:col>
                <xdr:colOff>247650</xdr:colOff>
                <xdr:row>47</xdr:row>
                <xdr:rowOff>19050</xdr:rowOff>
              </from>
              <to>
                <xdr:col>3</xdr:col>
                <xdr:colOff>409575</xdr:colOff>
                <xdr:row>47</xdr:row>
                <xdr:rowOff>142875</xdr:rowOff>
              </to>
            </anchor>
          </controlPr>
        </control>
      </mc:Choice>
      <mc:Fallback>
        <control shapeId="2188" r:id="rId138" name="VarPreSelect45"/>
      </mc:Fallback>
    </mc:AlternateContent>
    <mc:AlternateContent xmlns:mc="http://schemas.openxmlformats.org/markup-compatibility/2006">
      <mc:Choice Requires="x14">
        <control shapeId="2189" r:id="rId139" name="VarPreSelect46">
          <controlPr defaultSize="0" autoLine="0" r:id="rId5">
            <anchor moveWithCells="1">
              <from>
                <xdr:col>3</xdr:col>
                <xdr:colOff>247650</xdr:colOff>
                <xdr:row>48</xdr:row>
                <xdr:rowOff>19050</xdr:rowOff>
              </from>
              <to>
                <xdr:col>3</xdr:col>
                <xdr:colOff>409575</xdr:colOff>
                <xdr:row>48</xdr:row>
                <xdr:rowOff>142875</xdr:rowOff>
              </to>
            </anchor>
          </controlPr>
        </control>
      </mc:Choice>
      <mc:Fallback>
        <control shapeId="2189" r:id="rId139" name="VarPreSelect46"/>
      </mc:Fallback>
    </mc:AlternateContent>
    <mc:AlternateContent xmlns:mc="http://schemas.openxmlformats.org/markup-compatibility/2006">
      <mc:Choice Requires="x14">
        <control shapeId="2190" r:id="rId140" name="VarPreSelect47">
          <controlPr defaultSize="0" autoLine="0" r:id="rId5">
            <anchor moveWithCells="1">
              <from>
                <xdr:col>3</xdr:col>
                <xdr:colOff>247650</xdr:colOff>
                <xdr:row>49</xdr:row>
                <xdr:rowOff>19050</xdr:rowOff>
              </from>
              <to>
                <xdr:col>3</xdr:col>
                <xdr:colOff>409575</xdr:colOff>
                <xdr:row>49</xdr:row>
                <xdr:rowOff>142875</xdr:rowOff>
              </to>
            </anchor>
          </controlPr>
        </control>
      </mc:Choice>
      <mc:Fallback>
        <control shapeId="2190" r:id="rId140" name="VarPreSelect47"/>
      </mc:Fallback>
    </mc:AlternateContent>
    <mc:AlternateContent xmlns:mc="http://schemas.openxmlformats.org/markup-compatibility/2006">
      <mc:Choice Requires="x14">
        <control shapeId="2191" r:id="rId141" name="VarPreSelect48">
          <controlPr defaultSize="0" autoLine="0" r:id="rId5">
            <anchor moveWithCells="1">
              <from>
                <xdr:col>3</xdr:col>
                <xdr:colOff>247650</xdr:colOff>
                <xdr:row>50</xdr:row>
                <xdr:rowOff>19050</xdr:rowOff>
              </from>
              <to>
                <xdr:col>3</xdr:col>
                <xdr:colOff>409575</xdr:colOff>
                <xdr:row>50</xdr:row>
                <xdr:rowOff>142875</xdr:rowOff>
              </to>
            </anchor>
          </controlPr>
        </control>
      </mc:Choice>
      <mc:Fallback>
        <control shapeId="2191" r:id="rId141" name="VarPreSelect48"/>
      </mc:Fallback>
    </mc:AlternateContent>
    <mc:AlternateContent xmlns:mc="http://schemas.openxmlformats.org/markup-compatibility/2006">
      <mc:Choice Requires="x14">
        <control shapeId="2192" r:id="rId142" name="VarPreSelect49">
          <controlPr defaultSize="0" autoLine="0" r:id="rId5">
            <anchor moveWithCells="1">
              <from>
                <xdr:col>3</xdr:col>
                <xdr:colOff>247650</xdr:colOff>
                <xdr:row>51</xdr:row>
                <xdr:rowOff>19050</xdr:rowOff>
              </from>
              <to>
                <xdr:col>3</xdr:col>
                <xdr:colOff>409575</xdr:colOff>
                <xdr:row>51</xdr:row>
                <xdr:rowOff>142875</xdr:rowOff>
              </to>
            </anchor>
          </controlPr>
        </control>
      </mc:Choice>
      <mc:Fallback>
        <control shapeId="2192" r:id="rId142" name="VarPreSelect49"/>
      </mc:Fallback>
    </mc:AlternateContent>
    <mc:AlternateContent xmlns:mc="http://schemas.openxmlformats.org/markup-compatibility/2006">
      <mc:Choice Requires="x14">
        <control shapeId="2193" r:id="rId143" name="VarPreSelect50">
          <controlPr defaultSize="0" autoLine="0" r:id="rId5">
            <anchor moveWithCells="1">
              <from>
                <xdr:col>3</xdr:col>
                <xdr:colOff>247650</xdr:colOff>
                <xdr:row>52</xdr:row>
                <xdr:rowOff>19050</xdr:rowOff>
              </from>
              <to>
                <xdr:col>3</xdr:col>
                <xdr:colOff>409575</xdr:colOff>
                <xdr:row>52</xdr:row>
                <xdr:rowOff>142875</xdr:rowOff>
              </to>
            </anchor>
          </controlPr>
        </control>
      </mc:Choice>
      <mc:Fallback>
        <control shapeId="2193" r:id="rId143" name="VarPreSelect50"/>
      </mc:Fallback>
    </mc:AlternateContent>
    <mc:AlternateContent xmlns:mc="http://schemas.openxmlformats.org/markup-compatibility/2006">
      <mc:Choice Requires="x14">
        <control shapeId="2194" r:id="rId144" name="VarPreSelect51">
          <controlPr defaultSize="0" autoLine="0" r:id="rId5">
            <anchor moveWithCells="1">
              <from>
                <xdr:col>3</xdr:col>
                <xdr:colOff>247650</xdr:colOff>
                <xdr:row>53</xdr:row>
                <xdr:rowOff>19050</xdr:rowOff>
              </from>
              <to>
                <xdr:col>3</xdr:col>
                <xdr:colOff>409575</xdr:colOff>
                <xdr:row>53</xdr:row>
                <xdr:rowOff>142875</xdr:rowOff>
              </to>
            </anchor>
          </controlPr>
        </control>
      </mc:Choice>
      <mc:Fallback>
        <control shapeId="2194" r:id="rId144" name="VarPreSelect51"/>
      </mc:Fallback>
    </mc:AlternateContent>
    <mc:AlternateContent xmlns:mc="http://schemas.openxmlformats.org/markup-compatibility/2006">
      <mc:Choice Requires="x14">
        <control shapeId="2195" r:id="rId145" name="VarPreSelect52">
          <controlPr defaultSize="0" autoLine="0" r:id="rId5">
            <anchor moveWithCells="1">
              <from>
                <xdr:col>3</xdr:col>
                <xdr:colOff>247650</xdr:colOff>
                <xdr:row>54</xdr:row>
                <xdr:rowOff>19050</xdr:rowOff>
              </from>
              <to>
                <xdr:col>3</xdr:col>
                <xdr:colOff>409575</xdr:colOff>
                <xdr:row>54</xdr:row>
                <xdr:rowOff>142875</xdr:rowOff>
              </to>
            </anchor>
          </controlPr>
        </control>
      </mc:Choice>
      <mc:Fallback>
        <control shapeId="2195" r:id="rId145" name="VarPreSelect52"/>
      </mc:Fallback>
    </mc:AlternateContent>
    <mc:AlternateContent xmlns:mc="http://schemas.openxmlformats.org/markup-compatibility/2006">
      <mc:Choice Requires="x14">
        <control shapeId="2196" r:id="rId146" name="VarPreSelect53">
          <controlPr defaultSize="0" autoLine="0" r:id="rId5">
            <anchor moveWithCells="1">
              <from>
                <xdr:col>3</xdr:col>
                <xdr:colOff>247650</xdr:colOff>
                <xdr:row>55</xdr:row>
                <xdr:rowOff>19050</xdr:rowOff>
              </from>
              <to>
                <xdr:col>3</xdr:col>
                <xdr:colOff>409575</xdr:colOff>
                <xdr:row>55</xdr:row>
                <xdr:rowOff>142875</xdr:rowOff>
              </to>
            </anchor>
          </controlPr>
        </control>
      </mc:Choice>
      <mc:Fallback>
        <control shapeId="2196" r:id="rId146" name="VarPreSelect53"/>
      </mc:Fallback>
    </mc:AlternateContent>
    <mc:AlternateContent xmlns:mc="http://schemas.openxmlformats.org/markup-compatibility/2006">
      <mc:Choice Requires="x14">
        <control shapeId="2197" r:id="rId147" name="VarPreSelect54">
          <controlPr defaultSize="0" autoLine="0" r:id="rId5">
            <anchor moveWithCells="1">
              <from>
                <xdr:col>3</xdr:col>
                <xdr:colOff>247650</xdr:colOff>
                <xdr:row>56</xdr:row>
                <xdr:rowOff>19050</xdr:rowOff>
              </from>
              <to>
                <xdr:col>3</xdr:col>
                <xdr:colOff>409575</xdr:colOff>
                <xdr:row>56</xdr:row>
                <xdr:rowOff>142875</xdr:rowOff>
              </to>
            </anchor>
          </controlPr>
        </control>
      </mc:Choice>
      <mc:Fallback>
        <control shapeId="2197" r:id="rId147" name="VarPreSelect54"/>
      </mc:Fallback>
    </mc:AlternateContent>
    <mc:AlternateContent xmlns:mc="http://schemas.openxmlformats.org/markup-compatibility/2006">
      <mc:Choice Requires="x14">
        <control shapeId="2198" r:id="rId148" name="VarPreSelect55">
          <controlPr defaultSize="0" autoLine="0" r:id="rId5">
            <anchor moveWithCells="1">
              <from>
                <xdr:col>3</xdr:col>
                <xdr:colOff>247650</xdr:colOff>
                <xdr:row>57</xdr:row>
                <xdr:rowOff>19050</xdr:rowOff>
              </from>
              <to>
                <xdr:col>3</xdr:col>
                <xdr:colOff>409575</xdr:colOff>
                <xdr:row>57</xdr:row>
                <xdr:rowOff>142875</xdr:rowOff>
              </to>
            </anchor>
          </controlPr>
        </control>
      </mc:Choice>
      <mc:Fallback>
        <control shapeId="2198" r:id="rId148" name="VarPreSelect55"/>
      </mc:Fallback>
    </mc:AlternateContent>
    <mc:AlternateContent xmlns:mc="http://schemas.openxmlformats.org/markup-compatibility/2006">
      <mc:Choice Requires="x14">
        <control shapeId="2199" r:id="rId149" name="VarPreSelect56">
          <controlPr defaultSize="0" autoLine="0" r:id="rId5">
            <anchor moveWithCells="1">
              <from>
                <xdr:col>3</xdr:col>
                <xdr:colOff>247650</xdr:colOff>
                <xdr:row>58</xdr:row>
                <xdr:rowOff>19050</xdr:rowOff>
              </from>
              <to>
                <xdr:col>3</xdr:col>
                <xdr:colOff>409575</xdr:colOff>
                <xdr:row>58</xdr:row>
                <xdr:rowOff>142875</xdr:rowOff>
              </to>
            </anchor>
          </controlPr>
        </control>
      </mc:Choice>
      <mc:Fallback>
        <control shapeId="2199" r:id="rId149" name="VarPreSelect56"/>
      </mc:Fallback>
    </mc:AlternateContent>
    <mc:AlternateContent xmlns:mc="http://schemas.openxmlformats.org/markup-compatibility/2006">
      <mc:Choice Requires="x14">
        <control shapeId="2200" r:id="rId150" name="VarPreSelect57">
          <controlPr defaultSize="0" autoLine="0" r:id="rId5">
            <anchor moveWithCells="1">
              <from>
                <xdr:col>3</xdr:col>
                <xdr:colOff>247650</xdr:colOff>
                <xdr:row>59</xdr:row>
                <xdr:rowOff>19050</xdr:rowOff>
              </from>
              <to>
                <xdr:col>3</xdr:col>
                <xdr:colOff>409575</xdr:colOff>
                <xdr:row>59</xdr:row>
                <xdr:rowOff>142875</xdr:rowOff>
              </to>
            </anchor>
          </controlPr>
        </control>
      </mc:Choice>
      <mc:Fallback>
        <control shapeId="2200" r:id="rId150" name="VarPreSelect57"/>
      </mc:Fallback>
    </mc:AlternateContent>
    <mc:AlternateContent xmlns:mc="http://schemas.openxmlformats.org/markup-compatibility/2006">
      <mc:Choice Requires="x14">
        <control shapeId="2201" r:id="rId151" name="VarPreSelect58">
          <controlPr defaultSize="0" autoLine="0" r:id="rId5">
            <anchor moveWithCells="1">
              <from>
                <xdr:col>3</xdr:col>
                <xdr:colOff>247650</xdr:colOff>
                <xdr:row>60</xdr:row>
                <xdr:rowOff>19050</xdr:rowOff>
              </from>
              <to>
                <xdr:col>3</xdr:col>
                <xdr:colOff>409575</xdr:colOff>
                <xdr:row>60</xdr:row>
                <xdr:rowOff>142875</xdr:rowOff>
              </to>
            </anchor>
          </controlPr>
        </control>
      </mc:Choice>
      <mc:Fallback>
        <control shapeId="2201" r:id="rId151" name="VarPreSelect58"/>
      </mc:Fallback>
    </mc:AlternateContent>
    <mc:AlternateContent xmlns:mc="http://schemas.openxmlformats.org/markup-compatibility/2006">
      <mc:Choice Requires="x14">
        <control shapeId="2202" r:id="rId152" name="VarPreSelect59">
          <controlPr defaultSize="0" autoLine="0" r:id="rId5">
            <anchor moveWithCells="1">
              <from>
                <xdr:col>3</xdr:col>
                <xdr:colOff>247650</xdr:colOff>
                <xdr:row>61</xdr:row>
                <xdr:rowOff>19050</xdr:rowOff>
              </from>
              <to>
                <xdr:col>3</xdr:col>
                <xdr:colOff>409575</xdr:colOff>
                <xdr:row>61</xdr:row>
                <xdr:rowOff>142875</xdr:rowOff>
              </to>
            </anchor>
          </controlPr>
        </control>
      </mc:Choice>
      <mc:Fallback>
        <control shapeId="2202" r:id="rId152" name="VarPreSelect59"/>
      </mc:Fallback>
    </mc:AlternateContent>
    <mc:AlternateContent xmlns:mc="http://schemas.openxmlformats.org/markup-compatibility/2006">
      <mc:Choice Requires="x14">
        <control shapeId="2203" r:id="rId153" name="VarPreSelect60">
          <controlPr defaultSize="0" autoLine="0" r:id="rId5">
            <anchor moveWithCells="1">
              <from>
                <xdr:col>3</xdr:col>
                <xdr:colOff>247650</xdr:colOff>
                <xdr:row>62</xdr:row>
                <xdr:rowOff>19050</xdr:rowOff>
              </from>
              <to>
                <xdr:col>3</xdr:col>
                <xdr:colOff>409575</xdr:colOff>
                <xdr:row>62</xdr:row>
                <xdr:rowOff>142875</xdr:rowOff>
              </to>
            </anchor>
          </controlPr>
        </control>
      </mc:Choice>
      <mc:Fallback>
        <control shapeId="2203" r:id="rId153" name="VarPreSelect60"/>
      </mc:Fallback>
    </mc:AlternateContent>
    <mc:AlternateContent xmlns:mc="http://schemas.openxmlformats.org/markup-compatibility/2006">
      <mc:Choice Requires="x14">
        <control shapeId="2204" r:id="rId154" name="VarPreSelect61">
          <controlPr defaultSize="0" autoLine="0" r:id="rId5">
            <anchor moveWithCells="1">
              <from>
                <xdr:col>3</xdr:col>
                <xdr:colOff>247650</xdr:colOff>
                <xdr:row>63</xdr:row>
                <xdr:rowOff>19050</xdr:rowOff>
              </from>
              <to>
                <xdr:col>3</xdr:col>
                <xdr:colOff>409575</xdr:colOff>
                <xdr:row>63</xdr:row>
                <xdr:rowOff>142875</xdr:rowOff>
              </to>
            </anchor>
          </controlPr>
        </control>
      </mc:Choice>
      <mc:Fallback>
        <control shapeId="2204" r:id="rId154" name="VarPreSelect61"/>
      </mc:Fallback>
    </mc:AlternateContent>
    <mc:AlternateContent xmlns:mc="http://schemas.openxmlformats.org/markup-compatibility/2006">
      <mc:Choice Requires="x14">
        <control shapeId="2205" r:id="rId155" name="VarPreSelect62">
          <controlPr defaultSize="0" autoLine="0" r:id="rId5">
            <anchor moveWithCells="1">
              <from>
                <xdr:col>3</xdr:col>
                <xdr:colOff>247650</xdr:colOff>
                <xdr:row>64</xdr:row>
                <xdr:rowOff>19050</xdr:rowOff>
              </from>
              <to>
                <xdr:col>3</xdr:col>
                <xdr:colOff>409575</xdr:colOff>
                <xdr:row>64</xdr:row>
                <xdr:rowOff>142875</xdr:rowOff>
              </to>
            </anchor>
          </controlPr>
        </control>
      </mc:Choice>
      <mc:Fallback>
        <control shapeId="2205" r:id="rId155" name="VarPreSelect62"/>
      </mc:Fallback>
    </mc:AlternateContent>
    <mc:AlternateContent xmlns:mc="http://schemas.openxmlformats.org/markup-compatibility/2006">
      <mc:Choice Requires="x14">
        <control shapeId="2206" r:id="rId156" name="VarPreSelect63">
          <controlPr defaultSize="0" autoLine="0" r:id="rId5">
            <anchor moveWithCells="1">
              <from>
                <xdr:col>3</xdr:col>
                <xdr:colOff>247650</xdr:colOff>
                <xdr:row>65</xdr:row>
                <xdr:rowOff>19050</xdr:rowOff>
              </from>
              <to>
                <xdr:col>3</xdr:col>
                <xdr:colOff>409575</xdr:colOff>
                <xdr:row>65</xdr:row>
                <xdr:rowOff>142875</xdr:rowOff>
              </to>
            </anchor>
          </controlPr>
        </control>
      </mc:Choice>
      <mc:Fallback>
        <control shapeId="2206" r:id="rId156" name="VarPreSelect63"/>
      </mc:Fallback>
    </mc:AlternateContent>
    <mc:AlternateContent xmlns:mc="http://schemas.openxmlformats.org/markup-compatibility/2006">
      <mc:Choice Requires="x14">
        <control shapeId="2207" r:id="rId157" name="VarPreSelect64">
          <controlPr defaultSize="0" autoLine="0" r:id="rId5">
            <anchor moveWithCells="1">
              <from>
                <xdr:col>3</xdr:col>
                <xdr:colOff>247650</xdr:colOff>
                <xdr:row>66</xdr:row>
                <xdr:rowOff>19050</xdr:rowOff>
              </from>
              <to>
                <xdr:col>3</xdr:col>
                <xdr:colOff>409575</xdr:colOff>
                <xdr:row>66</xdr:row>
                <xdr:rowOff>142875</xdr:rowOff>
              </to>
            </anchor>
          </controlPr>
        </control>
      </mc:Choice>
      <mc:Fallback>
        <control shapeId="2207" r:id="rId157" name="VarPreSelect64"/>
      </mc:Fallback>
    </mc:AlternateContent>
    <mc:AlternateContent xmlns:mc="http://schemas.openxmlformats.org/markup-compatibility/2006">
      <mc:Choice Requires="x14">
        <control shapeId="2208" r:id="rId158" name="VarPreSelect65">
          <controlPr defaultSize="0" autoLine="0" r:id="rId5">
            <anchor moveWithCells="1">
              <from>
                <xdr:col>3</xdr:col>
                <xdr:colOff>247650</xdr:colOff>
                <xdr:row>67</xdr:row>
                <xdr:rowOff>19050</xdr:rowOff>
              </from>
              <to>
                <xdr:col>3</xdr:col>
                <xdr:colOff>409575</xdr:colOff>
                <xdr:row>67</xdr:row>
                <xdr:rowOff>142875</xdr:rowOff>
              </to>
            </anchor>
          </controlPr>
        </control>
      </mc:Choice>
      <mc:Fallback>
        <control shapeId="2208" r:id="rId158" name="VarPreSelect65"/>
      </mc:Fallback>
    </mc:AlternateContent>
    <mc:AlternateContent xmlns:mc="http://schemas.openxmlformats.org/markup-compatibility/2006">
      <mc:Choice Requires="x14">
        <control shapeId="2209" r:id="rId159" name="VarPreSelect66">
          <controlPr defaultSize="0" autoLine="0" r:id="rId5">
            <anchor moveWithCells="1">
              <from>
                <xdr:col>3</xdr:col>
                <xdr:colOff>247650</xdr:colOff>
                <xdr:row>68</xdr:row>
                <xdr:rowOff>19050</xdr:rowOff>
              </from>
              <to>
                <xdr:col>3</xdr:col>
                <xdr:colOff>409575</xdr:colOff>
                <xdr:row>68</xdr:row>
                <xdr:rowOff>142875</xdr:rowOff>
              </to>
            </anchor>
          </controlPr>
        </control>
      </mc:Choice>
      <mc:Fallback>
        <control shapeId="2209" r:id="rId159" name="VarPreSelect66"/>
      </mc:Fallback>
    </mc:AlternateContent>
    <mc:AlternateContent xmlns:mc="http://schemas.openxmlformats.org/markup-compatibility/2006">
      <mc:Choice Requires="x14">
        <control shapeId="2210" r:id="rId160" name="VarPreSelect67">
          <controlPr defaultSize="0" autoLine="0" r:id="rId5">
            <anchor moveWithCells="1">
              <from>
                <xdr:col>3</xdr:col>
                <xdr:colOff>247650</xdr:colOff>
                <xdr:row>69</xdr:row>
                <xdr:rowOff>19050</xdr:rowOff>
              </from>
              <to>
                <xdr:col>3</xdr:col>
                <xdr:colOff>409575</xdr:colOff>
                <xdr:row>69</xdr:row>
                <xdr:rowOff>142875</xdr:rowOff>
              </to>
            </anchor>
          </controlPr>
        </control>
      </mc:Choice>
      <mc:Fallback>
        <control shapeId="2210" r:id="rId160" name="VarPreSelect67"/>
      </mc:Fallback>
    </mc:AlternateContent>
    <mc:AlternateContent xmlns:mc="http://schemas.openxmlformats.org/markup-compatibility/2006">
      <mc:Choice Requires="x14">
        <control shapeId="2211" r:id="rId161" name="VarPreSelect68">
          <controlPr defaultSize="0" autoLine="0" r:id="rId5">
            <anchor moveWithCells="1">
              <from>
                <xdr:col>3</xdr:col>
                <xdr:colOff>247650</xdr:colOff>
                <xdr:row>70</xdr:row>
                <xdr:rowOff>19050</xdr:rowOff>
              </from>
              <to>
                <xdr:col>3</xdr:col>
                <xdr:colOff>409575</xdr:colOff>
                <xdr:row>70</xdr:row>
                <xdr:rowOff>142875</xdr:rowOff>
              </to>
            </anchor>
          </controlPr>
        </control>
      </mc:Choice>
      <mc:Fallback>
        <control shapeId="2211" r:id="rId161" name="VarPreSelect68"/>
      </mc:Fallback>
    </mc:AlternateContent>
    <mc:AlternateContent xmlns:mc="http://schemas.openxmlformats.org/markup-compatibility/2006">
      <mc:Choice Requires="x14">
        <control shapeId="2212" r:id="rId162" name="VarPreSelect69">
          <controlPr defaultSize="0" autoLine="0" r:id="rId5">
            <anchor moveWithCells="1">
              <from>
                <xdr:col>3</xdr:col>
                <xdr:colOff>247650</xdr:colOff>
                <xdr:row>71</xdr:row>
                <xdr:rowOff>19050</xdr:rowOff>
              </from>
              <to>
                <xdr:col>3</xdr:col>
                <xdr:colOff>409575</xdr:colOff>
                <xdr:row>71</xdr:row>
                <xdr:rowOff>142875</xdr:rowOff>
              </to>
            </anchor>
          </controlPr>
        </control>
      </mc:Choice>
      <mc:Fallback>
        <control shapeId="2212" r:id="rId162" name="VarPreSelect69"/>
      </mc:Fallback>
    </mc:AlternateContent>
    <mc:AlternateContent xmlns:mc="http://schemas.openxmlformats.org/markup-compatibility/2006">
      <mc:Choice Requires="x14">
        <control shapeId="2213" r:id="rId163" name="VarPreSelect70">
          <controlPr defaultSize="0" autoLine="0" r:id="rId5">
            <anchor moveWithCells="1">
              <from>
                <xdr:col>3</xdr:col>
                <xdr:colOff>247650</xdr:colOff>
                <xdr:row>72</xdr:row>
                <xdr:rowOff>19050</xdr:rowOff>
              </from>
              <to>
                <xdr:col>3</xdr:col>
                <xdr:colOff>409575</xdr:colOff>
                <xdr:row>72</xdr:row>
                <xdr:rowOff>142875</xdr:rowOff>
              </to>
            </anchor>
          </controlPr>
        </control>
      </mc:Choice>
      <mc:Fallback>
        <control shapeId="2213" r:id="rId163" name="VarPreSelect70"/>
      </mc:Fallback>
    </mc:AlternateContent>
    <mc:AlternateContent xmlns:mc="http://schemas.openxmlformats.org/markup-compatibility/2006">
      <mc:Choice Requires="x14">
        <control shapeId="2214" r:id="rId164" name="VarPreSelect71">
          <controlPr defaultSize="0" autoLine="0" r:id="rId5">
            <anchor moveWithCells="1">
              <from>
                <xdr:col>3</xdr:col>
                <xdr:colOff>247650</xdr:colOff>
                <xdr:row>73</xdr:row>
                <xdr:rowOff>19050</xdr:rowOff>
              </from>
              <to>
                <xdr:col>3</xdr:col>
                <xdr:colOff>409575</xdr:colOff>
                <xdr:row>73</xdr:row>
                <xdr:rowOff>142875</xdr:rowOff>
              </to>
            </anchor>
          </controlPr>
        </control>
      </mc:Choice>
      <mc:Fallback>
        <control shapeId="2214" r:id="rId164" name="VarPreSelect71"/>
      </mc:Fallback>
    </mc:AlternateContent>
    <mc:AlternateContent xmlns:mc="http://schemas.openxmlformats.org/markup-compatibility/2006">
      <mc:Choice Requires="x14">
        <control shapeId="2215" r:id="rId165" name="VarPreSelect72">
          <controlPr defaultSize="0" autoLine="0" r:id="rId5">
            <anchor moveWithCells="1">
              <from>
                <xdr:col>3</xdr:col>
                <xdr:colOff>247650</xdr:colOff>
                <xdr:row>74</xdr:row>
                <xdr:rowOff>19050</xdr:rowOff>
              </from>
              <to>
                <xdr:col>3</xdr:col>
                <xdr:colOff>409575</xdr:colOff>
                <xdr:row>74</xdr:row>
                <xdr:rowOff>142875</xdr:rowOff>
              </to>
            </anchor>
          </controlPr>
        </control>
      </mc:Choice>
      <mc:Fallback>
        <control shapeId="2215" r:id="rId165" name="VarPreSelect72"/>
      </mc:Fallback>
    </mc:AlternateContent>
    <mc:AlternateContent xmlns:mc="http://schemas.openxmlformats.org/markup-compatibility/2006">
      <mc:Choice Requires="x14">
        <control shapeId="2216" r:id="rId166" name="VarPreSelect73">
          <controlPr defaultSize="0" autoLine="0" r:id="rId5">
            <anchor moveWithCells="1">
              <from>
                <xdr:col>3</xdr:col>
                <xdr:colOff>247650</xdr:colOff>
                <xdr:row>75</xdr:row>
                <xdr:rowOff>19050</xdr:rowOff>
              </from>
              <to>
                <xdr:col>3</xdr:col>
                <xdr:colOff>409575</xdr:colOff>
                <xdr:row>75</xdr:row>
                <xdr:rowOff>142875</xdr:rowOff>
              </to>
            </anchor>
          </controlPr>
        </control>
      </mc:Choice>
      <mc:Fallback>
        <control shapeId="2216" r:id="rId166" name="VarPreSelect73"/>
      </mc:Fallback>
    </mc:AlternateContent>
    <mc:AlternateContent xmlns:mc="http://schemas.openxmlformats.org/markup-compatibility/2006">
      <mc:Choice Requires="x14">
        <control shapeId="2217" r:id="rId167" name="VarPreSelect74">
          <controlPr defaultSize="0" autoLine="0" r:id="rId5">
            <anchor moveWithCells="1">
              <from>
                <xdr:col>3</xdr:col>
                <xdr:colOff>247650</xdr:colOff>
                <xdr:row>76</xdr:row>
                <xdr:rowOff>19050</xdr:rowOff>
              </from>
              <to>
                <xdr:col>3</xdr:col>
                <xdr:colOff>409575</xdr:colOff>
                <xdr:row>76</xdr:row>
                <xdr:rowOff>142875</xdr:rowOff>
              </to>
            </anchor>
          </controlPr>
        </control>
      </mc:Choice>
      <mc:Fallback>
        <control shapeId="2217" r:id="rId167" name="VarPreSelect74"/>
      </mc:Fallback>
    </mc:AlternateContent>
    <mc:AlternateContent xmlns:mc="http://schemas.openxmlformats.org/markup-compatibility/2006">
      <mc:Choice Requires="x14">
        <control shapeId="2218" r:id="rId168" name="VarPreSelect75">
          <controlPr defaultSize="0" autoLine="0" r:id="rId5">
            <anchor moveWithCells="1">
              <from>
                <xdr:col>3</xdr:col>
                <xdr:colOff>247650</xdr:colOff>
                <xdr:row>77</xdr:row>
                <xdr:rowOff>19050</xdr:rowOff>
              </from>
              <to>
                <xdr:col>3</xdr:col>
                <xdr:colOff>409575</xdr:colOff>
                <xdr:row>77</xdr:row>
                <xdr:rowOff>142875</xdr:rowOff>
              </to>
            </anchor>
          </controlPr>
        </control>
      </mc:Choice>
      <mc:Fallback>
        <control shapeId="2218" r:id="rId168" name="VarPreSelect75"/>
      </mc:Fallback>
    </mc:AlternateContent>
    <mc:AlternateContent xmlns:mc="http://schemas.openxmlformats.org/markup-compatibility/2006">
      <mc:Choice Requires="x14">
        <control shapeId="2219" r:id="rId169" name="VarPreSelect76">
          <controlPr defaultSize="0" autoLine="0" r:id="rId5">
            <anchor moveWithCells="1">
              <from>
                <xdr:col>3</xdr:col>
                <xdr:colOff>247650</xdr:colOff>
                <xdr:row>78</xdr:row>
                <xdr:rowOff>19050</xdr:rowOff>
              </from>
              <to>
                <xdr:col>3</xdr:col>
                <xdr:colOff>409575</xdr:colOff>
                <xdr:row>78</xdr:row>
                <xdr:rowOff>142875</xdr:rowOff>
              </to>
            </anchor>
          </controlPr>
        </control>
      </mc:Choice>
      <mc:Fallback>
        <control shapeId="2219" r:id="rId169" name="VarPreSelect76"/>
      </mc:Fallback>
    </mc:AlternateContent>
    <mc:AlternateContent xmlns:mc="http://schemas.openxmlformats.org/markup-compatibility/2006">
      <mc:Choice Requires="x14">
        <control shapeId="2220" r:id="rId170" name="VarPreSelect77">
          <controlPr defaultSize="0" autoLine="0" r:id="rId5">
            <anchor moveWithCells="1">
              <from>
                <xdr:col>3</xdr:col>
                <xdr:colOff>247650</xdr:colOff>
                <xdr:row>79</xdr:row>
                <xdr:rowOff>19050</xdr:rowOff>
              </from>
              <to>
                <xdr:col>3</xdr:col>
                <xdr:colOff>409575</xdr:colOff>
                <xdr:row>79</xdr:row>
                <xdr:rowOff>142875</xdr:rowOff>
              </to>
            </anchor>
          </controlPr>
        </control>
      </mc:Choice>
      <mc:Fallback>
        <control shapeId="2220" r:id="rId170" name="VarPreSelect77"/>
      </mc:Fallback>
    </mc:AlternateContent>
    <mc:AlternateContent xmlns:mc="http://schemas.openxmlformats.org/markup-compatibility/2006">
      <mc:Choice Requires="x14">
        <control shapeId="2221" r:id="rId171" name="VarPreSelect78">
          <controlPr defaultSize="0" autoLine="0" r:id="rId5">
            <anchor moveWithCells="1">
              <from>
                <xdr:col>3</xdr:col>
                <xdr:colOff>247650</xdr:colOff>
                <xdr:row>80</xdr:row>
                <xdr:rowOff>19050</xdr:rowOff>
              </from>
              <to>
                <xdr:col>3</xdr:col>
                <xdr:colOff>409575</xdr:colOff>
                <xdr:row>80</xdr:row>
                <xdr:rowOff>142875</xdr:rowOff>
              </to>
            </anchor>
          </controlPr>
        </control>
      </mc:Choice>
      <mc:Fallback>
        <control shapeId="2221" r:id="rId171" name="VarPreSelect78"/>
      </mc:Fallback>
    </mc:AlternateContent>
    <mc:AlternateContent xmlns:mc="http://schemas.openxmlformats.org/markup-compatibility/2006">
      <mc:Choice Requires="x14">
        <control shapeId="2222" r:id="rId172" name="VarPreSelect79">
          <controlPr defaultSize="0" autoLine="0" r:id="rId5">
            <anchor moveWithCells="1">
              <from>
                <xdr:col>3</xdr:col>
                <xdr:colOff>247650</xdr:colOff>
                <xdr:row>81</xdr:row>
                <xdr:rowOff>19050</xdr:rowOff>
              </from>
              <to>
                <xdr:col>3</xdr:col>
                <xdr:colOff>409575</xdr:colOff>
                <xdr:row>81</xdr:row>
                <xdr:rowOff>142875</xdr:rowOff>
              </to>
            </anchor>
          </controlPr>
        </control>
      </mc:Choice>
      <mc:Fallback>
        <control shapeId="2222" r:id="rId172" name="VarPreSelect79"/>
      </mc:Fallback>
    </mc:AlternateContent>
    <mc:AlternateContent xmlns:mc="http://schemas.openxmlformats.org/markup-compatibility/2006">
      <mc:Choice Requires="x14">
        <control shapeId="2223" r:id="rId173" name="VarPreSelect80">
          <controlPr defaultSize="0" autoLine="0" r:id="rId5">
            <anchor moveWithCells="1">
              <from>
                <xdr:col>3</xdr:col>
                <xdr:colOff>247650</xdr:colOff>
                <xdr:row>82</xdr:row>
                <xdr:rowOff>19050</xdr:rowOff>
              </from>
              <to>
                <xdr:col>3</xdr:col>
                <xdr:colOff>409575</xdr:colOff>
                <xdr:row>82</xdr:row>
                <xdr:rowOff>142875</xdr:rowOff>
              </to>
            </anchor>
          </controlPr>
        </control>
      </mc:Choice>
      <mc:Fallback>
        <control shapeId="2223" r:id="rId173" name="VarPreSelect80"/>
      </mc:Fallback>
    </mc:AlternateContent>
    <mc:AlternateContent xmlns:mc="http://schemas.openxmlformats.org/markup-compatibility/2006">
      <mc:Choice Requires="x14">
        <control shapeId="2224" r:id="rId174" name="VarPreSelect81">
          <controlPr defaultSize="0" autoLine="0" r:id="rId5">
            <anchor moveWithCells="1">
              <from>
                <xdr:col>3</xdr:col>
                <xdr:colOff>247650</xdr:colOff>
                <xdr:row>83</xdr:row>
                <xdr:rowOff>19050</xdr:rowOff>
              </from>
              <to>
                <xdr:col>3</xdr:col>
                <xdr:colOff>409575</xdr:colOff>
                <xdr:row>83</xdr:row>
                <xdr:rowOff>142875</xdr:rowOff>
              </to>
            </anchor>
          </controlPr>
        </control>
      </mc:Choice>
      <mc:Fallback>
        <control shapeId="2224" r:id="rId174" name="VarPreSelect81"/>
      </mc:Fallback>
    </mc:AlternateContent>
    <mc:AlternateContent xmlns:mc="http://schemas.openxmlformats.org/markup-compatibility/2006">
      <mc:Choice Requires="x14">
        <control shapeId="2225" r:id="rId175" name="VarPreSelect82">
          <controlPr defaultSize="0" autoLine="0" r:id="rId5">
            <anchor moveWithCells="1">
              <from>
                <xdr:col>3</xdr:col>
                <xdr:colOff>247650</xdr:colOff>
                <xdr:row>84</xdr:row>
                <xdr:rowOff>19050</xdr:rowOff>
              </from>
              <to>
                <xdr:col>3</xdr:col>
                <xdr:colOff>409575</xdr:colOff>
                <xdr:row>84</xdr:row>
                <xdr:rowOff>142875</xdr:rowOff>
              </to>
            </anchor>
          </controlPr>
        </control>
      </mc:Choice>
      <mc:Fallback>
        <control shapeId="2225" r:id="rId175" name="VarPreSelect82"/>
      </mc:Fallback>
    </mc:AlternateContent>
    <mc:AlternateContent xmlns:mc="http://schemas.openxmlformats.org/markup-compatibility/2006">
      <mc:Choice Requires="x14">
        <control shapeId="2226" r:id="rId176" name="VarPreSelect83">
          <controlPr defaultSize="0" autoLine="0" r:id="rId5">
            <anchor moveWithCells="1">
              <from>
                <xdr:col>3</xdr:col>
                <xdr:colOff>247650</xdr:colOff>
                <xdr:row>85</xdr:row>
                <xdr:rowOff>19050</xdr:rowOff>
              </from>
              <to>
                <xdr:col>3</xdr:col>
                <xdr:colOff>409575</xdr:colOff>
                <xdr:row>85</xdr:row>
                <xdr:rowOff>142875</xdr:rowOff>
              </to>
            </anchor>
          </controlPr>
        </control>
      </mc:Choice>
      <mc:Fallback>
        <control shapeId="2226" r:id="rId176" name="VarPreSelect83"/>
      </mc:Fallback>
    </mc:AlternateContent>
    <mc:AlternateContent xmlns:mc="http://schemas.openxmlformats.org/markup-compatibility/2006">
      <mc:Choice Requires="x14">
        <control shapeId="2227" r:id="rId177" name="VarPreSelect84">
          <controlPr defaultSize="0" autoLine="0" r:id="rId5">
            <anchor moveWithCells="1">
              <from>
                <xdr:col>3</xdr:col>
                <xdr:colOff>247650</xdr:colOff>
                <xdr:row>86</xdr:row>
                <xdr:rowOff>19050</xdr:rowOff>
              </from>
              <to>
                <xdr:col>3</xdr:col>
                <xdr:colOff>409575</xdr:colOff>
                <xdr:row>86</xdr:row>
                <xdr:rowOff>142875</xdr:rowOff>
              </to>
            </anchor>
          </controlPr>
        </control>
      </mc:Choice>
      <mc:Fallback>
        <control shapeId="2227" r:id="rId177" name="VarPreSelect84"/>
      </mc:Fallback>
    </mc:AlternateContent>
    <mc:AlternateContent xmlns:mc="http://schemas.openxmlformats.org/markup-compatibility/2006">
      <mc:Choice Requires="x14">
        <control shapeId="2228" r:id="rId178" name="VarPreSelect85">
          <controlPr defaultSize="0" autoLine="0" r:id="rId5">
            <anchor moveWithCells="1">
              <from>
                <xdr:col>3</xdr:col>
                <xdr:colOff>247650</xdr:colOff>
                <xdr:row>87</xdr:row>
                <xdr:rowOff>19050</xdr:rowOff>
              </from>
              <to>
                <xdr:col>3</xdr:col>
                <xdr:colOff>409575</xdr:colOff>
                <xdr:row>87</xdr:row>
                <xdr:rowOff>142875</xdr:rowOff>
              </to>
            </anchor>
          </controlPr>
        </control>
      </mc:Choice>
      <mc:Fallback>
        <control shapeId="2228" r:id="rId178" name="VarPreSelect85"/>
      </mc:Fallback>
    </mc:AlternateContent>
    <mc:AlternateContent xmlns:mc="http://schemas.openxmlformats.org/markup-compatibility/2006">
      <mc:Choice Requires="x14">
        <control shapeId="2229" r:id="rId179" name="VarPreSelect86">
          <controlPr defaultSize="0" autoLine="0" r:id="rId5">
            <anchor moveWithCells="1">
              <from>
                <xdr:col>3</xdr:col>
                <xdr:colOff>247650</xdr:colOff>
                <xdr:row>88</xdr:row>
                <xdr:rowOff>19050</xdr:rowOff>
              </from>
              <to>
                <xdr:col>3</xdr:col>
                <xdr:colOff>409575</xdr:colOff>
                <xdr:row>88</xdr:row>
                <xdr:rowOff>142875</xdr:rowOff>
              </to>
            </anchor>
          </controlPr>
        </control>
      </mc:Choice>
      <mc:Fallback>
        <control shapeId="2229" r:id="rId179" name="VarPreSelect86"/>
      </mc:Fallback>
    </mc:AlternateContent>
    <mc:AlternateContent xmlns:mc="http://schemas.openxmlformats.org/markup-compatibility/2006">
      <mc:Choice Requires="x14">
        <control shapeId="2230" r:id="rId180" name="VarPreSelect87">
          <controlPr defaultSize="0" autoLine="0" r:id="rId5">
            <anchor moveWithCells="1">
              <from>
                <xdr:col>3</xdr:col>
                <xdr:colOff>247650</xdr:colOff>
                <xdr:row>89</xdr:row>
                <xdr:rowOff>19050</xdr:rowOff>
              </from>
              <to>
                <xdr:col>3</xdr:col>
                <xdr:colOff>409575</xdr:colOff>
                <xdr:row>89</xdr:row>
                <xdr:rowOff>142875</xdr:rowOff>
              </to>
            </anchor>
          </controlPr>
        </control>
      </mc:Choice>
      <mc:Fallback>
        <control shapeId="2230" r:id="rId180" name="VarPreSelect87"/>
      </mc:Fallback>
    </mc:AlternateContent>
    <mc:AlternateContent xmlns:mc="http://schemas.openxmlformats.org/markup-compatibility/2006">
      <mc:Choice Requires="x14">
        <control shapeId="2231" r:id="rId181" name="VarPreSelect88">
          <controlPr defaultSize="0" autoLine="0" r:id="rId5">
            <anchor moveWithCells="1">
              <from>
                <xdr:col>3</xdr:col>
                <xdr:colOff>247650</xdr:colOff>
                <xdr:row>90</xdr:row>
                <xdr:rowOff>19050</xdr:rowOff>
              </from>
              <to>
                <xdr:col>3</xdr:col>
                <xdr:colOff>409575</xdr:colOff>
                <xdr:row>90</xdr:row>
                <xdr:rowOff>142875</xdr:rowOff>
              </to>
            </anchor>
          </controlPr>
        </control>
      </mc:Choice>
      <mc:Fallback>
        <control shapeId="2231" r:id="rId181" name="VarPreSelect88"/>
      </mc:Fallback>
    </mc:AlternateContent>
    <mc:AlternateContent xmlns:mc="http://schemas.openxmlformats.org/markup-compatibility/2006">
      <mc:Choice Requires="x14">
        <control shapeId="2232" r:id="rId182" name="VarPreSelect89">
          <controlPr defaultSize="0" autoLine="0" r:id="rId5">
            <anchor moveWithCells="1">
              <from>
                <xdr:col>3</xdr:col>
                <xdr:colOff>247650</xdr:colOff>
                <xdr:row>91</xdr:row>
                <xdr:rowOff>19050</xdr:rowOff>
              </from>
              <to>
                <xdr:col>3</xdr:col>
                <xdr:colOff>409575</xdr:colOff>
                <xdr:row>91</xdr:row>
                <xdr:rowOff>142875</xdr:rowOff>
              </to>
            </anchor>
          </controlPr>
        </control>
      </mc:Choice>
      <mc:Fallback>
        <control shapeId="2232" r:id="rId182" name="VarPreSelect89"/>
      </mc:Fallback>
    </mc:AlternateContent>
    <mc:AlternateContent xmlns:mc="http://schemas.openxmlformats.org/markup-compatibility/2006">
      <mc:Choice Requires="x14">
        <control shapeId="2233" r:id="rId183" name="MatchCORREL1">
          <controlPr defaultSize="0" autoLine="0" r:id="rId184">
            <anchor moveWithCells="1">
              <from>
                <xdr:col>4</xdr:col>
                <xdr:colOff>247650</xdr:colOff>
                <xdr:row>96</xdr:row>
                <xdr:rowOff>19050</xdr:rowOff>
              </from>
              <to>
                <xdr:col>4</xdr:col>
                <xdr:colOff>409575</xdr:colOff>
                <xdr:row>96</xdr:row>
                <xdr:rowOff>142875</xdr:rowOff>
              </to>
            </anchor>
          </controlPr>
        </control>
      </mc:Choice>
      <mc:Fallback>
        <control shapeId="2233" r:id="rId183" name="MatchCORREL1"/>
      </mc:Fallback>
    </mc:AlternateContent>
    <mc:AlternateContent xmlns:mc="http://schemas.openxmlformats.org/markup-compatibility/2006">
      <mc:Choice Requires="x14">
        <control shapeId="2234" r:id="rId185" name="MatchCORREL2">
          <controlPr defaultSize="0" autoLine="0" r:id="rId184">
            <anchor moveWithCells="1">
              <from>
                <xdr:col>5</xdr:col>
                <xdr:colOff>247650</xdr:colOff>
                <xdr:row>96</xdr:row>
                <xdr:rowOff>19050</xdr:rowOff>
              </from>
              <to>
                <xdr:col>5</xdr:col>
                <xdr:colOff>409575</xdr:colOff>
                <xdr:row>96</xdr:row>
                <xdr:rowOff>142875</xdr:rowOff>
              </to>
            </anchor>
          </controlPr>
        </control>
      </mc:Choice>
      <mc:Fallback>
        <control shapeId="2234" r:id="rId185" name="MatchCORREL2"/>
      </mc:Fallback>
    </mc:AlternateContent>
    <mc:AlternateContent xmlns:mc="http://schemas.openxmlformats.org/markup-compatibility/2006">
      <mc:Choice Requires="x14">
        <control shapeId="2235" r:id="rId186" name="MatchCORREL3">
          <controlPr defaultSize="0" autoLine="0" r:id="rId184">
            <anchor moveWithCells="1">
              <from>
                <xdr:col>6</xdr:col>
                <xdr:colOff>247650</xdr:colOff>
                <xdr:row>96</xdr:row>
                <xdr:rowOff>19050</xdr:rowOff>
              </from>
              <to>
                <xdr:col>6</xdr:col>
                <xdr:colOff>409575</xdr:colOff>
                <xdr:row>96</xdr:row>
                <xdr:rowOff>142875</xdr:rowOff>
              </to>
            </anchor>
          </controlPr>
        </control>
      </mc:Choice>
      <mc:Fallback>
        <control shapeId="2235" r:id="rId186" name="MatchCORREL3"/>
      </mc:Fallback>
    </mc:AlternateContent>
    <mc:AlternateContent xmlns:mc="http://schemas.openxmlformats.org/markup-compatibility/2006">
      <mc:Choice Requires="x14">
        <control shapeId="2236" r:id="rId187" name="MatchCORREL4">
          <controlPr defaultSize="0" autoLine="0" r:id="rId184">
            <anchor moveWithCells="1">
              <from>
                <xdr:col>7</xdr:col>
                <xdr:colOff>247650</xdr:colOff>
                <xdr:row>96</xdr:row>
                <xdr:rowOff>19050</xdr:rowOff>
              </from>
              <to>
                <xdr:col>7</xdr:col>
                <xdr:colOff>409575</xdr:colOff>
                <xdr:row>96</xdr:row>
                <xdr:rowOff>142875</xdr:rowOff>
              </to>
            </anchor>
          </controlPr>
        </control>
      </mc:Choice>
      <mc:Fallback>
        <control shapeId="2236" r:id="rId187" name="MatchCORREL4"/>
      </mc:Fallback>
    </mc:AlternateContent>
    <mc:AlternateContent xmlns:mc="http://schemas.openxmlformats.org/markup-compatibility/2006">
      <mc:Choice Requires="x14">
        <control shapeId="2237" r:id="rId188" name="MatchCORREL5">
          <controlPr defaultSize="0" autoLine="0" r:id="rId184">
            <anchor moveWithCells="1">
              <from>
                <xdr:col>8</xdr:col>
                <xdr:colOff>247650</xdr:colOff>
                <xdr:row>96</xdr:row>
                <xdr:rowOff>19050</xdr:rowOff>
              </from>
              <to>
                <xdr:col>8</xdr:col>
                <xdr:colOff>409575</xdr:colOff>
                <xdr:row>96</xdr:row>
                <xdr:rowOff>142875</xdr:rowOff>
              </to>
            </anchor>
          </controlPr>
        </control>
      </mc:Choice>
      <mc:Fallback>
        <control shapeId="2237" r:id="rId188" name="MatchCORREL5"/>
      </mc:Fallback>
    </mc:AlternateContent>
    <mc:AlternateContent xmlns:mc="http://schemas.openxmlformats.org/markup-compatibility/2006">
      <mc:Choice Requires="x14">
        <control shapeId="2238" r:id="rId189" name="MatchCORREL6">
          <controlPr defaultSize="0" autoLine="0" r:id="rId184">
            <anchor moveWithCells="1">
              <from>
                <xdr:col>9</xdr:col>
                <xdr:colOff>247650</xdr:colOff>
                <xdr:row>96</xdr:row>
                <xdr:rowOff>19050</xdr:rowOff>
              </from>
              <to>
                <xdr:col>9</xdr:col>
                <xdr:colOff>409575</xdr:colOff>
                <xdr:row>96</xdr:row>
                <xdr:rowOff>142875</xdr:rowOff>
              </to>
            </anchor>
          </controlPr>
        </control>
      </mc:Choice>
      <mc:Fallback>
        <control shapeId="2238" r:id="rId189" name="MatchCORREL6"/>
      </mc:Fallback>
    </mc:AlternateContent>
    <mc:AlternateContent xmlns:mc="http://schemas.openxmlformats.org/markup-compatibility/2006">
      <mc:Choice Requires="x14">
        <control shapeId="2239" r:id="rId190" name="MatchCORREL7">
          <controlPr defaultSize="0" autoLine="0" r:id="rId184">
            <anchor moveWithCells="1">
              <from>
                <xdr:col>10</xdr:col>
                <xdr:colOff>247650</xdr:colOff>
                <xdr:row>96</xdr:row>
                <xdr:rowOff>19050</xdr:rowOff>
              </from>
              <to>
                <xdr:col>10</xdr:col>
                <xdr:colOff>409575</xdr:colOff>
                <xdr:row>96</xdr:row>
                <xdr:rowOff>142875</xdr:rowOff>
              </to>
            </anchor>
          </controlPr>
        </control>
      </mc:Choice>
      <mc:Fallback>
        <control shapeId="2239" r:id="rId190" name="MatchCORREL7"/>
      </mc:Fallback>
    </mc:AlternateContent>
    <mc:AlternateContent xmlns:mc="http://schemas.openxmlformats.org/markup-compatibility/2006">
      <mc:Choice Requires="x14">
        <control shapeId="2240" r:id="rId191" name="MatchCORREL8">
          <controlPr defaultSize="0" autoLine="0" r:id="rId184">
            <anchor moveWithCells="1">
              <from>
                <xdr:col>11</xdr:col>
                <xdr:colOff>247650</xdr:colOff>
                <xdr:row>96</xdr:row>
                <xdr:rowOff>19050</xdr:rowOff>
              </from>
              <to>
                <xdr:col>11</xdr:col>
                <xdr:colOff>409575</xdr:colOff>
                <xdr:row>96</xdr:row>
                <xdr:rowOff>142875</xdr:rowOff>
              </to>
            </anchor>
          </controlPr>
        </control>
      </mc:Choice>
      <mc:Fallback>
        <control shapeId="2240" r:id="rId191" name="MatchCORREL8"/>
      </mc:Fallback>
    </mc:AlternateContent>
    <mc:AlternateContent xmlns:mc="http://schemas.openxmlformats.org/markup-compatibility/2006">
      <mc:Choice Requires="x14">
        <control shapeId="2241" r:id="rId192" name="MatchCORREL9">
          <controlPr defaultSize="0" autoLine="0" r:id="rId184">
            <anchor moveWithCells="1">
              <from>
                <xdr:col>12</xdr:col>
                <xdr:colOff>247650</xdr:colOff>
                <xdr:row>96</xdr:row>
                <xdr:rowOff>19050</xdr:rowOff>
              </from>
              <to>
                <xdr:col>12</xdr:col>
                <xdr:colOff>409575</xdr:colOff>
                <xdr:row>96</xdr:row>
                <xdr:rowOff>142875</xdr:rowOff>
              </to>
            </anchor>
          </controlPr>
        </control>
      </mc:Choice>
      <mc:Fallback>
        <control shapeId="2241" r:id="rId192" name="MatchCORREL9"/>
      </mc:Fallback>
    </mc:AlternateContent>
    <mc:AlternateContent xmlns:mc="http://schemas.openxmlformats.org/markup-compatibility/2006">
      <mc:Choice Requires="x14">
        <control shapeId="2242" r:id="rId193" name="MatchCORREL10">
          <controlPr defaultSize="0" autoLine="0" r:id="rId184">
            <anchor moveWithCells="1">
              <from>
                <xdr:col>13</xdr:col>
                <xdr:colOff>247650</xdr:colOff>
                <xdr:row>96</xdr:row>
                <xdr:rowOff>19050</xdr:rowOff>
              </from>
              <to>
                <xdr:col>13</xdr:col>
                <xdr:colOff>409575</xdr:colOff>
                <xdr:row>96</xdr:row>
                <xdr:rowOff>142875</xdr:rowOff>
              </to>
            </anchor>
          </controlPr>
        </control>
      </mc:Choice>
      <mc:Fallback>
        <control shapeId="2242" r:id="rId193" name="MatchCORREL10"/>
      </mc:Fallback>
    </mc:AlternateContent>
    <mc:AlternateContent xmlns:mc="http://schemas.openxmlformats.org/markup-compatibility/2006">
      <mc:Choice Requires="x14">
        <control shapeId="2243" r:id="rId194" name="MatchCORREL11">
          <controlPr defaultSize="0" autoLine="0" r:id="rId184">
            <anchor moveWithCells="1">
              <from>
                <xdr:col>14</xdr:col>
                <xdr:colOff>247650</xdr:colOff>
                <xdr:row>96</xdr:row>
                <xdr:rowOff>19050</xdr:rowOff>
              </from>
              <to>
                <xdr:col>14</xdr:col>
                <xdr:colOff>409575</xdr:colOff>
                <xdr:row>96</xdr:row>
                <xdr:rowOff>142875</xdr:rowOff>
              </to>
            </anchor>
          </controlPr>
        </control>
      </mc:Choice>
      <mc:Fallback>
        <control shapeId="2243" r:id="rId194" name="MatchCORREL11"/>
      </mc:Fallback>
    </mc:AlternateContent>
    <mc:AlternateContent xmlns:mc="http://schemas.openxmlformats.org/markup-compatibility/2006">
      <mc:Choice Requires="x14">
        <control shapeId="2244" r:id="rId195" name="MatchCORREL12">
          <controlPr defaultSize="0" autoLine="0" r:id="rId184">
            <anchor moveWithCells="1">
              <from>
                <xdr:col>15</xdr:col>
                <xdr:colOff>247650</xdr:colOff>
                <xdr:row>96</xdr:row>
                <xdr:rowOff>19050</xdr:rowOff>
              </from>
              <to>
                <xdr:col>15</xdr:col>
                <xdr:colOff>409575</xdr:colOff>
                <xdr:row>96</xdr:row>
                <xdr:rowOff>142875</xdr:rowOff>
              </to>
            </anchor>
          </controlPr>
        </control>
      </mc:Choice>
      <mc:Fallback>
        <control shapeId="2244" r:id="rId195" name="MatchCORREL12"/>
      </mc:Fallback>
    </mc:AlternateContent>
    <mc:AlternateContent xmlns:mc="http://schemas.openxmlformats.org/markup-compatibility/2006">
      <mc:Choice Requires="x14">
        <control shapeId="2245" r:id="rId196" name="MatchCORREL13">
          <controlPr defaultSize="0" autoLine="0" r:id="rId184">
            <anchor moveWithCells="1">
              <from>
                <xdr:col>16</xdr:col>
                <xdr:colOff>247650</xdr:colOff>
                <xdr:row>96</xdr:row>
                <xdr:rowOff>19050</xdr:rowOff>
              </from>
              <to>
                <xdr:col>16</xdr:col>
                <xdr:colOff>409575</xdr:colOff>
                <xdr:row>96</xdr:row>
                <xdr:rowOff>142875</xdr:rowOff>
              </to>
            </anchor>
          </controlPr>
        </control>
      </mc:Choice>
      <mc:Fallback>
        <control shapeId="2245" r:id="rId196" name="MatchCORREL13"/>
      </mc:Fallback>
    </mc:AlternateContent>
    <mc:AlternateContent xmlns:mc="http://schemas.openxmlformats.org/markup-compatibility/2006">
      <mc:Choice Requires="x14">
        <control shapeId="2246" r:id="rId197" name="MatchCORREL14">
          <controlPr defaultSize="0" autoLine="0" r:id="rId184">
            <anchor moveWithCells="1">
              <from>
                <xdr:col>17</xdr:col>
                <xdr:colOff>247650</xdr:colOff>
                <xdr:row>96</xdr:row>
                <xdr:rowOff>19050</xdr:rowOff>
              </from>
              <to>
                <xdr:col>17</xdr:col>
                <xdr:colOff>409575</xdr:colOff>
                <xdr:row>96</xdr:row>
                <xdr:rowOff>142875</xdr:rowOff>
              </to>
            </anchor>
          </controlPr>
        </control>
      </mc:Choice>
      <mc:Fallback>
        <control shapeId="2246" r:id="rId197" name="MatchCORREL14"/>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W111"/>
  <sheetViews>
    <sheetView topLeftCell="A22" zoomScale="60" zoomScaleNormal="60" workbookViewId="0">
      <selection activeCell="A4" sqref="A4"/>
    </sheetView>
  </sheetViews>
  <sheetFormatPr defaultColWidth="8.85546875" defaultRowHeight="15"/>
  <cols>
    <col min="1" max="1" width="56.7109375" style="2" customWidth="1"/>
    <col min="2" max="2" width="9.7109375" style="3" customWidth="1"/>
    <col min="3" max="4" width="9.7109375" style="2" customWidth="1"/>
    <col min="5" max="19" width="9.28515625" style="3" customWidth="1"/>
    <col min="20" max="20" width="9.28515625" style="138" customWidth="1"/>
    <col min="21" max="21" width="6.7109375" style="137" customWidth="1"/>
    <col min="22" max="22" width="43.5703125" style="137" customWidth="1"/>
    <col min="23" max="23" width="97.7109375" style="137" customWidth="1"/>
    <col min="24" max="16384" width="8.85546875" style="2"/>
  </cols>
  <sheetData>
    <row r="1" spans="1:23" s="7" customFormat="1" ht="25.15" customHeight="1">
      <c r="A1" s="15"/>
      <c r="B1" s="15"/>
      <c r="C1" s="15"/>
      <c r="D1" s="15"/>
      <c r="E1" s="15"/>
      <c r="F1" s="15"/>
      <c r="G1" s="15"/>
      <c r="H1" s="15"/>
      <c r="I1" s="15"/>
      <c r="J1" s="15"/>
      <c r="K1" s="15"/>
      <c r="L1" s="15"/>
      <c r="M1" s="15"/>
      <c r="N1" s="15"/>
      <c r="O1" s="15"/>
      <c r="P1" s="15"/>
      <c r="Q1" s="15"/>
      <c r="R1" s="15"/>
      <c r="S1" s="15"/>
      <c r="T1" s="147">
        <f>SUM(T4:T93)</f>
        <v>32</v>
      </c>
      <c r="U1" s="141"/>
      <c r="V1" s="141"/>
      <c r="W1" s="141"/>
    </row>
    <row r="2" spans="1:23" s="8" customFormat="1" ht="19.899999999999999" customHeight="1" thickBot="1">
      <c r="A2" s="16" t="s">
        <v>115</v>
      </c>
      <c r="B2" s="16"/>
      <c r="C2" s="16"/>
      <c r="D2" s="16"/>
      <c r="E2" s="16"/>
      <c r="F2" s="16"/>
      <c r="G2" s="16"/>
      <c r="H2" s="16"/>
      <c r="I2" s="16"/>
      <c r="J2" s="16"/>
      <c r="K2" s="16"/>
      <c r="L2" s="16"/>
      <c r="M2" s="16"/>
      <c r="N2" s="16"/>
      <c r="O2" s="16"/>
      <c r="P2" s="16"/>
      <c r="Q2" s="16"/>
      <c r="R2" s="16"/>
      <c r="S2" s="16"/>
      <c r="T2" s="148"/>
      <c r="U2" s="142"/>
      <c r="V2" s="142"/>
      <c r="W2" s="142"/>
    </row>
    <row r="3" spans="1:23" s="14" customFormat="1" ht="25.15" customHeight="1" thickBot="1">
      <c r="A3" s="64" t="s">
        <v>106</v>
      </c>
      <c r="B3" s="47" t="s">
        <v>103</v>
      </c>
      <c r="C3" s="48" t="s">
        <v>104</v>
      </c>
      <c r="D3" s="49" t="s">
        <v>105</v>
      </c>
      <c r="E3" s="46" t="s">
        <v>85</v>
      </c>
      <c r="F3" s="46" t="s">
        <v>89</v>
      </c>
      <c r="G3" s="46" t="s">
        <v>86</v>
      </c>
      <c r="H3" s="46" t="s">
        <v>87</v>
      </c>
      <c r="I3" s="46" t="s">
        <v>88</v>
      </c>
      <c r="J3" s="46" t="s">
        <v>96</v>
      </c>
      <c r="K3" s="46" t="s">
        <v>97</v>
      </c>
      <c r="L3" s="46" t="s">
        <v>94</v>
      </c>
      <c r="M3" s="46" t="s">
        <v>98</v>
      </c>
      <c r="N3" s="46" t="s">
        <v>101</v>
      </c>
      <c r="O3" s="46" t="s">
        <v>90</v>
      </c>
      <c r="P3" s="46" t="s">
        <v>113</v>
      </c>
      <c r="Q3" s="46" t="s">
        <v>114</v>
      </c>
      <c r="R3" s="50" t="s">
        <v>102</v>
      </c>
      <c r="S3" s="18"/>
      <c r="T3" s="150"/>
      <c r="U3" s="146"/>
      <c r="V3" s="146"/>
      <c r="W3" s="146"/>
    </row>
    <row r="4" spans="1:23" s="14" customFormat="1" ht="12.75" customHeight="1">
      <c r="A4" s="64" t="s">
        <v>1</v>
      </c>
      <c r="B4" s="51">
        <v>1</v>
      </c>
      <c r="C4" s="44"/>
      <c r="D4" s="52"/>
      <c r="E4" s="66">
        <v>-2.0000000000000002E-5</v>
      </c>
      <c r="F4" s="66">
        <v>2.0000000000000002E-5</v>
      </c>
      <c r="G4" s="66">
        <v>6.8999999999999997E-4</v>
      </c>
      <c r="H4" s="66">
        <v>0</v>
      </c>
      <c r="I4" s="66">
        <v>3.0000000000000001E-5</v>
      </c>
      <c r="J4" s="66">
        <v>-6.9999999999999994E-5</v>
      </c>
      <c r="K4" s="66">
        <v>-1.0000000000000001E-5</v>
      </c>
      <c r="L4" s="66">
        <v>-1.0000000000000001E-5</v>
      </c>
      <c r="M4" s="66">
        <v>1.0000000000000001E-5</v>
      </c>
      <c r="N4" s="66">
        <v>2.5999999999999998E-4</v>
      </c>
      <c r="O4" s="66">
        <v>2.8600000000000001E-3</v>
      </c>
      <c r="P4" s="66">
        <v>-1.0000000000000001E-5</v>
      </c>
      <c r="Q4" s="66">
        <v>1.8000000000000001E-4</v>
      </c>
      <c r="R4" s="67">
        <v>2.0000000000000002E-5</v>
      </c>
      <c r="S4" s="62"/>
      <c r="T4" s="150"/>
      <c r="U4" s="229">
        <v>1</v>
      </c>
      <c r="V4" s="131" t="s">
        <v>1</v>
      </c>
      <c r="W4" s="130" t="s">
        <v>147</v>
      </c>
    </row>
    <row r="5" spans="1:23" s="14" customFormat="1" ht="12.75" customHeight="1">
      <c r="A5" s="63" t="s">
        <v>2</v>
      </c>
      <c r="B5" s="38">
        <v>1</v>
      </c>
      <c r="C5" s="22"/>
      <c r="D5" s="34"/>
      <c r="E5" s="21">
        <v>-7.7999999999999999E-4</v>
      </c>
      <c r="F5" s="21">
        <v>-1.31E-3</v>
      </c>
      <c r="G5" s="21">
        <v>9.0000000000000006E-5</v>
      </c>
      <c r="H5" s="21">
        <v>-5.1999999999999995E-4</v>
      </c>
      <c r="I5" s="21">
        <v>-6.7000000000000002E-4</v>
      </c>
      <c r="J5" s="21">
        <v>1.4300000000000001E-3</v>
      </c>
      <c r="K5" s="21">
        <v>-6.9999999999999999E-4</v>
      </c>
      <c r="L5" s="21">
        <v>6.2E-4</v>
      </c>
      <c r="M5" s="21">
        <v>-9.2000000000000003E-4</v>
      </c>
      <c r="N5" s="21">
        <v>2.9999999999999997E-4</v>
      </c>
      <c r="O5" s="21">
        <v>3.0000000000000001E-5</v>
      </c>
      <c r="P5" s="21">
        <v>6.3000000000000003E-4</v>
      </c>
      <c r="Q5" s="21">
        <v>8.1999999999999998E-4</v>
      </c>
      <c r="R5" s="60">
        <v>-1.56E-3</v>
      </c>
      <c r="S5" s="62"/>
      <c r="T5" s="150"/>
      <c r="U5" s="229">
        <f>U4+1</f>
        <v>2</v>
      </c>
      <c r="V5" s="131" t="s">
        <v>2</v>
      </c>
      <c r="W5" s="130" t="s">
        <v>149</v>
      </c>
    </row>
    <row r="6" spans="1:23" s="14" customFormat="1" ht="12.75" customHeight="1">
      <c r="A6" s="230" t="s">
        <v>3</v>
      </c>
      <c r="B6" s="38">
        <v>1</v>
      </c>
      <c r="C6" s="22"/>
      <c r="D6" s="34"/>
      <c r="E6" s="21">
        <v>-3.2499999999999999E-3</v>
      </c>
      <c r="F6" s="21">
        <v>-5.4900000000000001E-3</v>
      </c>
      <c r="G6" s="21">
        <v>3.6999999999999999E-4</v>
      </c>
      <c r="H6" s="21">
        <v>1.2700000000000001E-3</v>
      </c>
      <c r="I6" s="21">
        <v>-2.8400000000000001E-3</v>
      </c>
      <c r="J6" s="21">
        <v>6.45E-3</v>
      </c>
      <c r="K6" s="21">
        <v>-2.5799999999999998E-3</v>
      </c>
      <c r="L6" s="21">
        <v>2.6099999999999999E-3</v>
      </c>
      <c r="M6" s="21">
        <v>-3.6900000000000001E-3</v>
      </c>
      <c r="N6" s="21">
        <v>1.2600000000000001E-3</v>
      </c>
      <c r="O6" s="21">
        <v>1.1E-4</v>
      </c>
      <c r="P6" s="21">
        <v>2.8700000000000002E-3</v>
      </c>
      <c r="Q6" s="21">
        <v>3.3800000000000002E-3</v>
      </c>
      <c r="R6" s="60">
        <v>-6.4900000000000001E-3</v>
      </c>
      <c r="S6" s="62"/>
      <c r="T6" s="150">
        <v>1</v>
      </c>
      <c r="U6" s="129">
        <f t="shared" ref="U6:U69" si="0">U5+1</f>
        <v>3</v>
      </c>
      <c r="V6" s="128" t="s">
        <v>3</v>
      </c>
      <c r="W6" s="229"/>
    </row>
    <row r="7" spans="1:23" s="14" customFormat="1" ht="12.75" customHeight="1">
      <c r="A7" s="230" t="s">
        <v>4</v>
      </c>
      <c r="B7" s="38">
        <v>1</v>
      </c>
      <c r="C7" s="22"/>
      <c r="D7" s="34"/>
      <c r="E7" s="21">
        <v>-2.3600000000000001E-3</v>
      </c>
      <c r="F7" s="21">
        <v>-3.62E-3</v>
      </c>
      <c r="G7" s="21">
        <v>1.6000000000000001E-4</v>
      </c>
      <c r="H7" s="21">
        <v>7.9000000000000001E-4</v>
      </c>
      <c r="I7" s="21">
        <v>1.99E-3</v>
      </c>
      <c r="J7" s="21">
        <v>-6.8799999999999998E-3</v>
      </c>
      <c r="K7" s="21">
        <v>-1.6800000000000001E-3</v>
      </c>
      <c r="L7" s="21">
        <v>1.72E-3</v>
      </c>
      <c r="M7" s="21">
        <v>-2.1099999999999999E-3</v>
      </c>
      <c r="N7" s="21">
        <v>6.8999999999999997E-4</v>
      </c>
      <c r="O7" s="21">
        <v>0</v>
      </c>
      <c r="P7" s="21">
        <v>1.67E-3</v>
      </c>
      <c r="Q7" s="21">
        <v>1.99E-3</v>
      </c>
      <c r="R7" s="60">
        <v>-4.2500000000000003E-3</v>
      </c>
      <c r="S7" s="62"/>
      <c r="T7" s="150">
        <v>1</v>
      </c>
      <c r="U7" s="129">
        <f t="shared" si="0"/>
        <v>4</v>
      </c>
      <c r="V7" s="128" t="s">
        <v>4</v>
      </c>
      <c r="W7" s="229"/>
    </row>
    <row r="8" spans="1:23" s="14" customFormat="1" ht="12.75" customHeight="1">
      <c r="A8" s="63" t="s">
        <v>5</v>
      </c>
      <c r="B8" s="38">
        <v>1</v>
      </c>
      <c r="C8" s="22"/>
      <c r="D8" s="34"/>
      <c r="E8" s="21">
        <v>-9.92E-3</v>
      </c>
      <c r="F8" s="21">
        <v>0</v>
      </c>
      <c r="G8" s="21">
        <v>0</v>
      </c>
      <c r="H8" s="21">
        <v>0</v>
      </c>
      <c r="I8" s="21">
        <v>0</v>
      </c>
      <c r="J8" s="21">
        <v>1.0000000000000001E-5</v>
      </c>
      <c r="K8" s="21">
        <v>0</v>
      </c>
      <c r="L8" s="21">
        <v>0</v>
      </c>
      <c r="M8" s="21">
        <v>0</v>
      </c>
      <c r="N8" s="21">
        <v>0</v>
      </c>
      <c r="O8" s="21">
        <v>0</v>
      </c>
      <c r="P8" s="21">
        <v>0</v>
      </c>
      <c r="Q8" s="21">
        <v>0</v>
      </c>
      <c r="R8" s="60">
        <v>-1.0000000000000001E-5</v>
      </c>
      <c r="S8" s="62"/>
      <c r="T8" s="150"/>
      <c r="U8" s="229">
        <f t="shared" si="0"/>
        <v>5</v>
      </c>
      <c r="V8" s="131" t="s">
        <v>5</v>
      </c>
      <c r="W8" s="130" t="s">
        <v>154</v>
      </c>
    </row>
    <row r="9" spans="1:23" s="14" customFormat="1" ht="12.75" customHeight="1">
      <c r="A9" s="230" t="s">
        <v>6</v>
      </c>
      <c r="B9" s="38">
        <v>1</v>
      </c>
      <c r="C9" s="22"/>
      <c r="D9" s="34"/>
      <c r="E9" s="21">
        <v>-4.2399999999999998E-3</v>
      </c>
      <c r="F9" s="21">
        <v>-4.9500000000000004E-3</v>
      </c>
      <c r="G9" s="21">
        <v>-2.0000000000000001E-4</v>
      </c>
      <c r="H9" s="21">
        <v>8.0000000000000004E-4</v>
      </c>
      <c r="I9" s="21">
        <v>5.7800000000000004E-3</v>
      </c>
      <c r="J9" s="21">
        <v>-9.41E-3</v>
      </c>
      <c r="K9" s="21">
        <v>-2.3800000000000002E-3</v>
      </c>
      <c r="L9" s="21">
        <v>2.3500000000000001E-3</v>
      </c>
      <c r="M9" s="21">
        <v>2.0999999999999999E-3</v>
      </c>
      <c r="N9" s="21">
        <v>2.5000000000000001E-4</v>
      </c>
      <c r="O9" s="21">
        <v>-3.6999999999999999E-4</v>
      </c>
      <c r="P9" s="21">
        <v>1.1199999999999999E-3</v>
      </c>
      <c r="Q9" s="21">
        <v>1.5100000000000001E-3</v>
      </c>
      <c r="R9" s="60">
        <v>-5.6699999999999997E-3</v>
      </c>
      <c r="S9" s="62"/>
      <c r="T9" s="150">
        <v>1</v>
      </c>
      <c r="U9" s="129">
        <f t="shared" si="0"/>
        <v>6</v>
      </c>
      <c r="V9" s="128" t="s">
        <v>6</v>
      </c>
      <c r="W9" s="229"/>
    </row>
    <row r="10" spans="1:23" s="14" customFormat="1" ht="12.75" customHeight="1">
      <c r="A10" s="230" t="s">
        <v>7</v>
      </c>
      <c r="B10" s="38">
        <v>1</v>
      </c>
      <c r="C10" s="22"/>
      <c r="D10" s="34"/>
      <c r="E10" s="21">
        <v>-4.4900000000000001E-3</v>
      </c>
      <c r="F10" s="21">
        <v>-6.2300000000000003E-3</v>
      </c>
      <c r="G10" s="21">
        <v>3.0000000000000001E-5</v>
      </c>
      <c r="H10" s="21">
        <v>1.33E-3</v>
      </c>
      <c r="I10" s="21">
        <v>-1.4400000000000001E-3</v>
      </c>
      <c r="J10" s="21">
        <v>1.064E-2</v>
      </c>
      <c r="K10" s="21">
        <v>3.29E-3</v>
      </c>
      <c r="L10" s="21">
        <v>2.97E-3</v>
      </c>
      <c r="M10" s="21">
        <v>5.2999999999999998E-4</v>
      </c>
      <c r="N10" s="21">
        <v>8.0999999999999996E-4</v>
      </c>
      <c r="O10" s="21">
        <v>-2.2000000000000001E-4</v>
      </c>
      <c r="P10" s="21">
        <v>3.0899999999999999E-3</v>
      </c>
      <c r="Q10" s="21">
        <v>2.6700000000000001E-3</v>
      </c>
      <c r="R10" s="60">
        <v>-7.1000000000000004E-3</v>
      </c>
      <c r="S10" s="62"/>
      <c r="T10" s="150">
        <v>1</v>
      </c>
      <c r="U10" s="129">
        <f t="shared" si="0"/>
        <v>7</v>
      </c>
      <c r="V10" s="128" t="s">
        <v>7</v>
      </c>
      <c r="W10" s="229"/>
    </row>
    <row r="11" spans="1:23" s="14" customFormat="1" ht="12.75" customHeight="1">
      <c r="A11" s="230" t="s">
        <v>8</v>
      </c>
      <c r="B11" s="38">
        <v>1</v>
      </c>
      <c r="C11" s="22"/>
      <c r="D11" s="34"/>
      <c r="E11" s="21">
        <v>-3.2000000000000003E-4</v>
      </c>
      <c r="F11" s="21">
        <v>-2.0000000000000001E-4</v>
      </c>
      <c r="G11" s="21">
        <v>3.1800000000000001E-3</v>
      </c>
      <c r="H11" s="21">
        <v>5.0000000000000002E-5</v>
      </c>
      <c r="I11" s="21">
        <v>-6.9999999999999994E-5</v>
      </c>
      <c r="J11" s="21">
        <v>5.1999999999999995E-4</v>
      </c>
      <c r="K11" s="21">
        <v>2.1000000000000001E-4</v>
      </c>
      <c r="L11" s="21">
        <v>9.0000000000000006E-5</v>
      </c>
      <c r="M11" s="21">
        <v>5.0000000000000002E-5</v>
      </c>
      <c r="N11" s="21">
        <v>-1.33E-3</v>
      </c>
      <c r="O11" s="21">
        <v>3.2100000000000002E-3</v>
      </c>
      <c r="P11" s="21">
        <v>1E-4</v>
      </c>
      <c r="Q11" s="21">
        <v>1.4999999999999999E-4</v>
      </c>
      <c r="R11" s="60">
        <v>-5.4000000000000003E-3</v>
      </c>
      <c r="S11" s="62"/>
      <c r="T11" s="150">
        <v>1</v>
      </c>
      <c r="U11" s="129">
        <f t="shared" si="0"/>
        <v>8</v>
      </c>
      <c r="V11" s="128" t="s">
        <v>8</v>
      </c>
      <c r="W11" s="229"/>
    </row>
    <row r="12" spans="1:23" s="14" customFormat="1" ht="12.75" customHeight="1">
      <c r="A12" s="63" t="s">
        <v>9</v>
      </c>
      <c r="B12" s="38">
        <v>1</v>
      </c>
      <c r="C12" s="22"/>
      <c r="D12" s="34"/>
      <c r="E12" s="21">
        <v>-3.0000000000000001E-5</v>
      </c>
      <c r="F12" s="21">
        <v>-4.2999999999999999E-4</v>
      </c>
      <c r="G12" s="21">
        <v>-5.1999999999999998E-3</v>
      </c>
      <c r="H12" s="21">
        <v>6.9999999999999994E-5</v>
      </c>
      <c r="I12" s="21">
        <v>-5.0000000000000002E-5</v>
      </c>
      <c r="J12" s="21">
        <v>4.2000000000000002E-4</v>
      </c>
      <c r="K12" s="21">
        <v>6.0000000000000002E-5</v>
      </c>
      <c r="L12" s="21">
        <v>2.0000000000000001E-4</v>
      </c>
      <c r="M12" s="21">
        <v>-2.0000000000000002E-5</v>
      </c>
      <c r="N12" s="21">
        <v>1.8000000000000001E-4</v>
      </c>
      <c r="O12" s="21">
        <v>-6.9999999999999994E-5</v>
      </c>
      <c r="P12" s="21">
        <v>2.0000000000000001E-4</v>
      </c>
      <c r="Q12" s="21">
        <v>-1.2099999999999999E-3</v>
      </c>
      <c r="R12" s="60">
        <v>3.0000000000000001E-5</v>
      </c>
      <c r="S12" s="62"/>
      <c r="T12" s="150"/>
      <c r="U12" s="229">
        <f t="shared" si="0"/>
        <v>9</v>
      </c>
      <c r="V12" s="131" t="s">
        <v>9</v>
      </c>
      <c r="W12" s="130" t="s">
        <v>148</v>
      </c>
    </row>
    <row r="13" spans="1:23" s="14" customFormat="1" ht="12.75" customHeight="1">
      <c r="A13" s="63" t="s">
        <v>10</v>
      </c>
      <c r="B13" s="38">
        <v>1</v>
      </c>
      <c r="C13" s="22"/>
      <c r="D13" s="34"/>
      <c r="E13" s="21">
        <v>1.1E-4</v>
      </c>
      <c r="F13" s="21">
        <v>1.3999999999999999E-4</v>
      </c>
      <c r="G13" s="21">
        <v>1.0000000000000001E-5</v>
      </c>
      <c r="H13" s="21">
        <v>6.0000000000000002E-5</v>
      </c>
      <c r="I13" s="21">
        <v>6.9999999999999994E-5</v>
      </c>
      <c r="J13" s="21">
        <v>-1.9000000000000001E-4</v>
      </c>
      <c r="K13" s="21">
        <v>3.0000000000000001E-5</v>
      </c>
      <c r="L13" s="21">
        <v>-6.9999999999999994E-5</v>
      </c>
      <c r="M13" s="21">
        <v>6.9999999999999994E-5</v>
      </c>
      <c r="N13" s="21">
        <v>-3.0000000000000001E-5</v>
      </c>
      <c r="O13" s="21">
        <v>1.0000000000000001E-5</v>
      </c>
      <c r="P13" s="21">
        <v>-6.9999999999999994E-5</v>
      </c>
      <c r="Q13" s="21">
        <v>-8.0000000000000007E-5</v>
      </c>
      <c r="R13" s="60">
        <v>1.6000000000000001E-4</v>
      </c>
      <c r="S13" s="62"/>
      <c r="T13" s="150"/>
      <c r="U13" s="229">
        <f t="shared" si="0"/>
        <v>10</v>
      </c>
      <c r="V13" s="131" t="s">
        <v>10</v>
      </c>
      <c r="W13" s="130" t="s">
        <v>147</v>
      </c>
    </row>
    <row r="14" spans="1:23" s="14" customFormat="1" ht="12.75" customHeight="1">
      <c r="A14" s="63" t="s">
        <v>11</v>
      </c>
      <c r="B14" s="38">
        <v>1</v>
      </c>
      <c r="C14" s="22"/>
      <c r="D14" s="34"/>
      <c r="E14" s="21">
        <v>-4.6000000000000001E-4</v>
      </c>
      <c r="F14" s="21">
        <v>-8.0000000000000004E-4</v>
      </c>
      <c r="G14" s="21">
        <v>6.9999999999999994E-5</v>
      </c>
      <c r="H14" s="21">
        <v>-2.3600000000000001E-3</v>
      </c>
      <c r="I14" s="21">
        <v>-4.2999999999999999E-4</v>
      </c>
      <c r="J14" s="21">
        <v>6.8999999999999997E-4</v>
      </c>
      <c r="K14" s="21">
        <v>-6.4000000000000005E-4</v>
      </c>
      <c r="L14" s="21">
        <v>3.8000000000000002E-4</v>
      </c>
      <c r="M14" s="21">
        <v>-6.9999999999999999E-4</v>
      </c>
      <c r="N14" s="21">
        <v>2.1000000000000001E-4</v>
      </c>
      <c r="O14" s="21">
        <v>3.0000000000000001E-5</v>
      </c>
      <c r="P14" s="21">
        <v>3.1E-4</v>
      </c>
      <c r="Q14" s="21">
        <v>5.4000000000000001E-4</v>
      </c>
      <c r="R14" s="60">
        <v>-9.5E-4</v>
      </c>
      <c r="S14" s="62"/>
      <c r="T14" s="150"/>
      <c r="U14" s="229">
        <f t="shared" si="0"/>
        <v>11</v>
      </c>
      <c r="V14" s="131" t="s">
        <v>11</v>
      </c>
      <c r="W14" s="130" t="s">
        <v>151</v>
      </c>
    </row>
    <row r="15" spans="1:23" s="14" customFormat="1" ht="12.75" customHeight="1">
      <c r="A15" s="63" t="s">
        <v>12</v>
      </c>
      <c r="B15" s="38">
        <v>1</v>
      </c>
      <c r="C15" s="22"/>
      <c r="D15" s="34"/>
      <c r="E15" s="21">
        <v>-3.3E-4</v>
      </c>
      <c r="F15" s="21">
        <v>-6.2E-4</v>
      </c>
      <c r="G15" s="21">
        <v>6.0000000000000002E-5</v>
      </c>
      <c r="H15" s="21">
        <v>1.6000000000000001E-4</v>
      </c>
      <c r="I15" s="21">
        <v>-3.0000000000000001E-3</v>
      </c>
      <c r="J15" s="21">
        <v>-1.1999999999999999E-3</v>
      </c>
      <c r="K15" s="21">
        <v>-2.9E-4</v>
      </c>
      <c r="L15" s="21">
        <v>2.9999999999999997E-4</v>
      </c>
      <c r="M15" s="21">
        <v>-5.5999999999999995E-4</v>
      </c>
      <c r="N15" s="21">
        <v>1.8000000000000001E-4</v>
      </c>
      <c r="O15" s="21">
        <v>3.0000000000000001E-5</v>
      </c>
      <c r="P15" s="21">
        <v>3.8000000000000002E-4</v>
      </c>
      <c r="Q15" s="21">
        <v>4.4000000000000002E-4</v>
      </c>
      <c r="R15" s="60">
        <v>-7.3999999999999999E-4</v>
      </c>
      <c r="S15" s="62"/>
      <c r="T15" s="150"/>
      <c r="U15" s="229">
        <f t="shared" si="0"/>
        <v>12</v>
      </c>
      <c r="V15" s="131" t="s">
        <v>12</v>
      </c>
      <c r="W15" s="130" t="s">
        <v>152</v>
      </c>
    </row>
    <row r="16" spans="1:23" s="14" customFormat="1" ht="12.75" customHeight="1">
      <c r="A16" s="230" t="s">
        <v>13</v>
      </c>
      <c r="B16" s="38">
        <v>1</v>
      </c>
      <c r="C16" s="22"/>
      <c r="D16" s="34"/>
      <c r="E16" s="21">
        <v>1.359E-2</v>
      </c>
      <c r="F16" s="21">
        <v>5.1500000000000001E-3</v>
      </c>
      <c r="G16" s="21">
        <v>3.7299999999999998E-3</v>
      </c>
      <c r="H16" s="21">
        <v>1.4400000000000001E-3</v>
      </c>
      <c r="I16" s="21">
        <v>-1.31E-3</v>
      </c>
      <c r="J16" s="21">
        <v>8.26E-3</v>
      </c>
      <c r="K16" s="21">
        <v>2.7299999999999998E-3</v>
      </c>
      <c r="L16" s="21">
        <v>-2.4299999999999999E-3</v>
      </c>
      <c r="M16" s="21">
        <v>-6.4000000000000005E-4</v>
      </c>
      <c r="N16" s="21">
        <v>5.6299999999999996E-3</v>
      </c>
      <c r="O16" s="21">
        <v>3.5100000000000001E-3</v>
      </c>
      <c r="P16" s="21">
        <v>8.4100000000000008E-3</v>
      </c>
      <c r="Q16" s="21">
        <v>8.6300000000000005E-3</v>
      </c>
      <c r="R16" s="60">
        <v>4.81E-3</v>
      </c>
      <c r="S16" s="62"/>
      <c r="T16" s="150">
        <v>1</v>
      </c>
      <c r="U16" s="129">
        <f t="shared" si="0"/>
        <v>13</v>
      </c>
      <c r="V16" s="128" t="s">
        <v>13</v>
      </c>
      <c r="W16" s="229"/>
    </row>
    <row r="17" spans="1:23" s="14" customFormat="1" ht="12.75" customHeight="1">
      <c r="A17" s="230" t="s">
        <v>14</v>
      </c>
      <c r="B17" s="38">
        <v>1</v>
      </c>
      <c r="C17" s="22"/>
      <c r="D17" s="34"/>
      <c r="E17" s="21">
        <v>6.7000000000000002E-4</v>
      </c>
      <c r="F17" s="21">
        <v>1.5399999999999999E-3</v>
      </c>
      <c r="G17" s="21">
        <v>-1.4999999999999999E-4</v>
      </c>
      <c r="H17" s="21">
        <v>-5.1000000000000004E-4</v>
      </c>
      <c r="I17" s="21">
        <v>6.0800000000000003E-3</v>
      </c>
      <c r="J17" s="21">
        <v>-1.7440000000000001E-2</v>
      </c>
      <c r="K17" s="21">
        <v>-5.0000000000000001E-3</v>
      </c>
      <c r="L17" s="21">
        <v>-7.2999999999999996E-4</v>
      </c>
      <c r="M17" s="21">
        <v>1.1100000000000001E-3</v>
      </c>
      <c r="N17" s="21">
        <v>-4.4000000000000002E-4</v>
      </c>
      <c r="O17" s="21">
        <v>-6.9999999999999994E-5</v>
      </c>
      <c r="P17" s="21">
        <v>-1.162E-2</v>
      </c>
      <c r="Q17" s="21">
        <v>-1.0399999999999999E-3</v>
      </c>
      <c r="R17" s="60">
        <v>1.72E-3</v>
      </c>
      <c r="S17" s="62"/>
      <c r="T17" s="150">
        <v>1</v>
      </c>
      <c r="U17" s="129">
        <f t="shared" si="0"/>
        <v>14</v>
      </c>
      <c r="V17" s="128" t="s">
        <v>14</v>
      </c>
      <c r="W17" s="229"/>
    </row>
    <row r="18" spans="1:23" s="14" customFormat="1" ht="12.75" customHeight="1">
      <c r="A18" s="63" t="s">
        <v>15</v>
      </c>
      <c r="B18" s="38">
        <v>1</v>
      </c>
      <c r="C18" s="22"/>
      <c r="D18" s="34"/>
      <c r="E18" s="21">
        <v>-3.9199999999999999E-3</v>
      </c>
      <c r="F18" s="21">
        <v>-5.5599999999999998E-3</v>
      </c>
      <c r="G18" s="21">
        <v>-1.4599999999999999E-3</v>
      </c>
      <c r="H18" s="21">
        <v>1.1900000000000001E-3</v>
      </c>
      <c r="I18" s="21">
        <v>-1.2800000000000001E-3</v>
      </c>
      <c r="J18" s="21">
        <v>9.3799999999999994E-3</v>
      </c>
      <c r="K18" s="21">
        <v>2.8800000000000002E-3</v>
      </c>
      <c r="L18" s="21">
        <v>2.65E-3</v>
      </c>
      <c r="M18" s="21">
        <v>4.4999999999999999E-4</v>
      </c>
      <c r="N18" s="21">
        <v>1.3500000000000001E-3</v>
      </c>
      <c r="O18" s="21">
        <v>-1.6900000000000001E-3</v>
      </c>
      <c r="P18" s="21">
        <v>2.7499999999999998E-3</v>
      </c>
      <c r="Q18" s="21">
        <v>-7.5700000000000003E-3</v>
      </c>
      <c r="R18" s="60">
        <v>-3.9399999999999999E-3</v>
      </c>
      <c r="S18" s="62"/>
      <c r="T18" s="150"/>
      <c r="U18" s="229">
        <f t="shared" si="0"/>
        <v>15</v>
      </c>
      <c r="V18" s="131" t="s">
        <v>15</v>
      </c>
      <c r="W18" s="130" t="s">
        <v>155</v>
      </c>
    </row>
    <row r="19" spans="1:23" s="14" customFormat="1" ht="12.75" customHeight="1">
      <c r="A19" s="63" t="s">
        <v>16</v>
      </c>
      <c r="B19" s="38">
        <v>1</v>
      </c>
      <c r="C19" s="22"/>
      <c r="D19" s="34"/>
      <c r="E19" s="21">
        <v>7.7999999999999999E-4</v>
      </c>
      <c r="F19" s="21">
        <v>1.31E-3</v>
      </c>
      <c r="G19" s="21">
        <v>-9.0000000000000006E-5</v>
      </c>
      <c r="H19" s="21">
        <v>5.1999999999999995E-4</v>
      </c>
      <c r="I19" s="21">
        <v>6.7000000000000002E-4</v>
      </c>
      <c r="J19" s="21">
        <v>-1.4300000000000001E-3</v>
      </c>
      <c r="K19" s="21">
        <v>6.9999999999999999E-4</v>
      </c>
      <c r="L19" s="21">
        <v>-6.2E-4</v>
      </c>
      <c r="M19" s="21">
        <v>9.2000000000000003E-4</v>
      </c>
      <c r="N19" s="21">
        <v>-2.9999999999999997E-4</v>
      </c>
      <c r="O19" s="21">
        <v>-3.0000000000000001E-5</v>
      </c>
      <c r="P19" s="21">
        <v>-6.3000000000000003E-4</v>
      </c>
      <c r="Q19" s="21">
        <v>-8.0999999999999996E-4</v>
      </c>
      <c r="R19" s="60">
        <v>1.56E-3</v>
      </c>
      <c r="S19" s="62"/>
      <c r="T19" s="150"/>
      <c r="U19" s="229">
        <f t="shared" si="0"/>
        <v>16</v>
      </c>
      <c r="V19" s="131" t="s">
        <v>16</v>
      </c>
      <c r="W19" s="127" t="s">
        <v>150</v>
      </c>
    </row>
    <row r="20" spans="1:23" s="14" customFormat="1" ht="12.75" customHeight="1">
      <c r="A20" s="63" t="s">
        <v>17</v>
      </c>
      <c r="B20" s="38">
        <v>1</v>
      </c>
      <c r="C20" s="22"/>
      <c r="D20" s="34"/>
      <c r="E20" s="21">
        <v>2.5500000000000002E-3</v>
      </c>
      <c r="F20" s="21">
        <v>4.3E-3</v>
      </c>
      <c r="G20" s="21">
        <v>-2.9999999999999997E-4</v>
      </c>
      <c r="H20" s="21">
        <v>1.72E-3</v>
      </c>
      <c r="I20" s="21">
        <v>2.1900000000000001E-3</v>
      </c>
      <c r="J20" s="21">
        <v>-4.6499999999999996E-3</v>
      </c>
      <c r="K20" s="21">
        <v>2.2899999999999999E-3</v>
      </c>
      <c r="L20" s="21">
        <v>-2.0300000000000001E-3</v>
      </c>
      <c r="M20" s="21">
        <v>3.0300000000000001E-3</v>
      </c>
      <c r="N20" s="21">
        <v>-9.8999999999999999E-4</v>
      </c>
      <c r="O20" s="21">
        <v>-1E-4</v>
      </c>
      <c r="P20" s="21">
        <v>-2.0500000000000002E-3</v>
      </c>
      <c r="Q20" s="21">
        <v>-2.6700000000000001E-3</v>
      </c>
      <c r="R20" s="60">
        <v>5.1000000000000004E-3</v>
      </c>
      <c r="S20" s="62"/>
      <c r="T20" s="150"/>
      <c r="U20" s="229">
        <f t="shared" si="0"/>
        <v>17</v>
      </c>
      <c r="V20" s="131" t="s">
        <v>17</v>
      </c>
      <c r="W20" s="130" t="s">
        <v>197</v>
      </c>
    </row>
    <row r="21" spans="1:23" s="14" customFormat="1" ht="12.75" customHeight="1">
      <c r="A21" s="63" t="s">
        <v>18</v>
      </c>
      <c r="B21" s="38">
        <v>1</v>
      </c>
      <c r="C21" s="22"/>
      <c r="D21" s="34"/>
      <c r="E21" s="21">
        <v>1.0000000000000001E-5</v>
      </c>
      <c r="F21" s="21">
        <v>-2.0000000000000002E-5</v>
      </c>
      <c r="G21" s="21">
        <v>-4.4000000000000002E-4</v>
      </c>
      <c r="H21" s="21">
        <v>0</v>
      </c>
      <c r="I21" s="21">
        <v>-2.0000000000000002E-5</v>
      </c>
      <c r="J21" s="21">
        <v>4.0000000000000003E-5</v>
      </c>
      <c r="K21" s="21">
        <v>1.0000000000000001E-5</v>
      </c>
      <c r="L21" s="21">
        <v>1.0000000000000001E-5</v>
      </c>
      <c r="M21" s="21">
        <v>-1.0000000000000001E-5</v>
      </c>
      <c r="N21" s="21">
        <v>-1.4999999999999999E-4</v>
      </c>
      <c r="O21" s="21">
        <v>-1.6199999999999999E-3</v>
      </c>
      <c r="P21" s="21">
        <v>1.0000000000000001E-5</v>
      </c>
      <c r="Q21" s="21">
        <v>-1.1E-4</v>
      </c>
      <c r="R21" s="60">
        <v>-1.0000000000000001E-5</v>
      </c>
      <c r="S21" s="62"/>
      <c r="T21" s="150"/>
      <c r="U21" s="229">
        <f t="shared" si="0"/>
        <v>18</v>
      </c>
      <c r="V21" s="131" t="s">
        <v>18</v>
      </c>
      <c r="W21" s="130" t="s">
        <v>147</v>
      </c>
    </row>
    <row r="22" spans="1:23" s="14" customFormat="1" ht="12.75" customHeight="1">
      <c r="A22" s="63" t="s">
        <v>19</v>
      </c>
      <c r="B22" s="38">
        <v>1</v>
      </c>
      <c r="C22" s="22"/>
      <c r="D22" s="34"/>
      <c r="E22" s="21">
        <v>4.0000000000000003E-5</v>
      </c>
      <c r="F22" s="21">
        <v>-8.0000000000000007E-5</v>
      </c>
      <c r="G22" s="21">
        <v>-1.9300000000000001E-3</v>
      </c>
      <c r="H22" s="21">
        <v>2.0000000000000002E-5</v>
      </c>
      <c r="I22" s="21">
        <v>-6.9999999999999994E-5</v>
      </c>
      <c r="J22" s="21">
        <v>2.0000000000000001E-4</v>
      </c>
      <c r="K22" s="21">
        <v>3.0000000000000001E-5</v>
      </c>
      <c r="L22" s="21">
        <v>4.0000000000000003E-5</v>
      </c>
      <c r="M22" s="21">
        <v>-3.0000000000000001E-5</v>
      </c>
      <c r="N22" s="21">
        <v>-6.3000000000000003E-4</v>
      </c>
      <c r="O22" s="21">
        <v>-7.0499999999999998E-3</v>
      </c>
      <c r="P22" s="21">
        <v>4.0000000000000003E-5</v>
      </c>
      <c r="Q22" s="21">
        <v>-5.0000000000000001E-4</v>
      </c>
      <c r="R22" s="60">
        <v>-4.0000000000000003E-5</v>
      </c>
      <c r="S22" s="62"/>
      <c r="T22" s="150"/>
      <c r="U22" s="229">
        <f t="shared" si="0"/>
        <v>19</v>
      </c>
      <c r="V22" s="131" t="s">
        <v>19</v>
      </c>
      <c r="W22" s="130" t="s">
        <v>148</v>
      </c>
    </row>
    <row r="23" spans="1:23" s="14" customFormat="1" ht="12.75" customHeight="1">
      <c r="A23" s="63" t="s">
        <v>20</v>
      </c>
      <c r="B23" s="38">
        <v>1</v>
      </c>
      <c r="C23" s="22"/>
      <c r="D23" s="34"/>
      <c r="E23" s="21">
        <v>1.0000000000000001E-5</v>
      </c>
      <c r="F23" s="21">
        <v>-1.0000000000000001E-5</v>
      </c>
      <c r="G23" s="21">
        <v>-2.4000000000000001E-4</v>
      </c>
      <c r="H23" s="21">
        <v>0</v>
      </c>
      <c r="I23" s="21">
        <v>-1.0000000000000001E-5</v>
      </c>
      <c r="J23" s="21">
        <v>2.0000000000000002E-5</v>
      </c>
      <c r="K23" s="21">
        <v>0</v>
      </c>
      <c r="L23" s="21">
        <v>0</v>
      </c>
      <c r="M23" s="21">
        <v>0</v>
      </c>
      <c r="N23" s="21">
        <v>-8.0000000000000007E-5</v>
      </c>
      <c r="O23" s="21">
        <v>-9.1E-4</v>
      </c>
      <c r="P23" s="21">
        <v>0</v>
      </c>
      <c r="Q23" s="21">
        <v>-6.0000000000000002E-5</v>
      </c>
      <c r="R23" s="60">
        <v>-1.0000000000000001E-5</v>
      </c>
      <c r="S23" s="62"/>
      <c r="T23" s="150"/>
      <c r="U23" s="229">
        <f t="shared" si="0"/>
        <v>20</v>
      </c>
      <c r="V23" s="131" t="s">
        <v>20</v>
      </c>
      <c r="W23" s="130" t="s">
        <v>147</v>
      </c>
    </row>
    <row r="24" spans="1:23" s="14" customFormat="1" ht="12.75" customHeight="1">
      <c r="A24" s="63" t="s">
        <v>21</v>
      </c>
      <c r="B24" s="38">
        <v>1</v>
      </c>
      <c r="C24" s="22"/>
      <c r="D24" s="34"/>
      <c r="E24" s="21">
        <v>1.0000000000000001E-5</v>
      </c>
      <c r="F24" s="21">
        <v>-1.0000000000000001E-5</v>
      </c>
      <c r="G24" s="21">
        <v>-2.7999999999999998E-4</v>
      </c>
      <c r="H24" s="21">
        <v>0</v>
      </c>
      <c r="I24" s="21">
        <v>-1.0000000000000001E-5</v>
      </c>
      <c r="J24" s="21">
        <v>3.0000000000000001E-5</v>
      </c>
      <c r="K24" s="21">
        <v>0</v>
      </c>
      <c r="L24" s="21">
        <v>0</v>
      </c>
      <c r="M24" s="21">
        <v>-1.0000000000000001E-5</v>
      </c>
      <c r="N24" s="21">
        <v>-1E-4</v>
      </c>
      <c r="O24" s="21">
        <v>4.8000000000000001E-4</v>
      </c>
      <c r="P24" s="21">
        <v>1.0000000000000001E-5</v>
      </c>
      <c r="Q24" s="21">
        <v>-6.9999999999999994E-5</v>
      </c>
      <c r="R24" s="60">
        <v>-1.0000000000000001E-5</v>
      </c>
      <c r="S24" s="62"/>
      <c r="T24" s="150"/>
      <c r="U24" s="229">
        <f t="shared" si="0"/>
        <v>21</v>
      </c>
      <c r="V24" s="131" t="s">
        <v>21</v>
      </c>
      <c r="W24" s="130" t="s">
        <v>147</v>
      </c>
    </row>
    <row r="25" spans="1:23" s="14" customFormat="1" ht="12.75" customHeight="1">
      <c r="A25" s="230" t="s">
        <v>22</v>
      </c>
      <c r="B25" s="38">
        <v>1</v>
      </c>
      <c r="C25" s="22"/>
      <c r="D25" s="34"/>
      <c r="E25" s="21">
        <v>-1.0529999999999999E-2</v>
      </c>
      <c r="F25" s="21">
        <v>-1.2199999999999999E-3</v>
      </c>
      <c r="G25" s="21">
        <v>-3.7000000000000002E-3</v>
      </c>
      <c r="H25" s="21">
        <v>-2.16E-3</v>
      </c>
      <c r="I25" s="21">
        <v>-3.47E-3</v>
      </c>
      <c r="J25" s="21">
        <v>-7.6000000000000004E-4</v>
      </c>
      <c r="K25" s="21">
        <v>-8.7000000000000001E-4</v>
      </c>
      <c r="L25" s="21">
        <v>5.8E-4</v>
      </c>
      <c r="M25" s="21">
        <v>-1.1800000000000001E-3</v>
      </c>
      <c r="N25" s="21">
        <v>-5.9699999999999996E-3</v>
      </c>
      <c r="O25" s="21">
        <v>-3.3600000000000001E-3</v>
      </c>
      <c r="P25" s="21">
        <v>-9.6100000000000005E-3</v>
      </c>
      <c r="Q25" s="21">
        <v>-1.023E-2</v>
      </c>
      <c r="R25" s="60">
        <v>-2.3000000000000001E-4</v>
      </c>
      <c r="S25" s="62"/>
      <c r="T25" s="150">
        <v>1</v>
      </c>
      <c r="U25" s="129">
        <f t="shared" si="0"/>
        <v>22</v>
      </c>
      <c r="V25" s="128" t="s">
        <v>22</v>
      </c>
      <c r="W25" s="229"/>
    </row>
    <row r="26" spans="1:23" s="14" customFormat="1" ht="12.75" customHeight="1">
      <c r="A26" s="63" t="s">
        <v>23</v>
      </c>
      <c r="B26" s="38">
        <v>1</v>
      </c>
      <c r="C26" s="22"/>
      <c r="D26" s="34"/>
      <c r="E26" s="21">
        <v>-9.0000000000000006E-5</v>
      </c>
      <c r="F26" s="21">
        <v>-5.0000000000000002E-5</v>
      </c>
      <c r="G26" s="21">
        <v>9.1E-4</v>
      </c>
      <c r="H26" s="21">
        <v>1.0000000000000001E-5</v>
      </c>
      <c r="I26" s="21">
        <v>-2.0000000000000002E-5</v>
      </c>
      <c r="J26" s="21">
        <v>1.3999999999999999E-4</v>
      </c>
      <c r="K26" s="21">
        <v>6.0000000000000002E-5</v>
      </c>
      <c r="L26" s="21">
        <v>2.0000000000000002E-5</v>
      </c>
      <c r="M26" s="21">
        <v>2.0000000000000002E-5</v>
      </c>
      <c r="N26" s="21">
        <v>-6.4999999999999997E-3</v>
      </c>
      <c r="O26" s="21">
        <v>9.2000000000000003E-4</v>
      </c>
      <c r="P26" s="21">
        <v>3.0000000000000001E-5</v>
      </c>
      <c r="Q26" s="21">
        <v>5.0000000000000002E-5</v>
      </c>
      <c r="R26" s="60">
        <v>-1.5399999999999999E-3</v>
      </c>
      <c r="S26" s="62"/>
      <c r="T26" s="150"/>
      <c r="U26" s="229">
        <f t="shared" si="0"/>
        <v>23</v>
      </c>
      <c r="V26" s="131" t="s">
        <v>23</v>
      </c>
      <c r="W26" s="130" t="s">
        <v>149</v>
      </c>
    </row>
    <row r="27" spans="1:23" s="14" customFormat="1" ht="12.75" customHeight="1" thickBot="1">
      <c r="A27" s="63" t="s">
        <v>24</v>
      </c>
      <c r="B27" s="38">
        <v>1</v>
      </c>
      <c r="C27" s="22"/>
      <c r="D27" s="34"/>
      <c r="E27" s="21">
        <v>-6.0000000000000002E-5</v>
      </c>
      <c r="F27" s="21">
        <v>3.0000000000000001E-5</v>
      </c>
      <c r="G27" s="21">
        <v>1.66E-3</v>
      </c>
      <c r="H27" s="21">
        <v>-1.0000000000000001E-5</v>
      </c>
      <c r="I27" s="21">
        <v>6.0000000000000002E-5</v>
      </c>
      <c r="J27" s="21">
        <v>-1.3999999999999999E-4</v>
      </c>
      <c r="K27" s="21">
        <v>-1.0000000000000001E-5</v>
      </c>
      <c r="L27" s="21">
        <v>-2.0000000000000002E-5</v>
      </c>
      <c r="M27" s="21">
        <v>3.0000000000000001E-5</v>
      </c>
      <c r="N27" s="21">
        <v>-3.5E-4</v>
      </c>
      <c r="O27" s="21">
        <v>-2.8900000000000002E-3</v>
      </c>
      <c r="P27" s="21">
        <v>-2.0000000000000002E-5</v>
      </c>
      <c r="Q27" s="21">
        <v>4.0000000000000002E-4</v>
      </c>
      <c r="R27" s="60">
        <v>-1.9000000000000001E-4</v>
      </c>
      <c r="S27" s="62"/>
      <c r="T27" s="150"/>
      <c r="U27" s="229">
        <f t="shared" si="0"/>
        <v>24</v>
      </c>
      <c r="V27" s="131" t="s">
        <v>24</v>
      </c>
      <c r="W27" s="130" t="s">
        <v>149</v>
      </c>
    </row>
    <row r="28" spans="1:23" s="14" customFormat="1" ht="12.75" customHeight="1">
      <c r="A28" s="64" t="s">
        <v>61</v>
      </c>
      <c r="B28" s="51">
        <v>1</v>
      </c>
      <c r="C28" s="44"/>
      <c r="D28" s="52"/>
      <c r="E28" s="66">
        <v>5.11E-3</v>
      </c>
      <c r="F28" s="66">
        <v>8.4600000000000005E-3</v>
      </c>
      <c r="G28" s="66">
        <v>-5.5999999999999995E-4</v>
      </c>
      <c r="H28" s="66">
        <v>3.46E-3</v>
      </c>
      <c r="I28" s="66">
        <v>4.3099999999999996E-3</v>
      </c>
      <c r="J28" s="66">
        <v>-9.3399999999999993E-3</v>
      </c>
      <c r="K28" s="66">
        <v>4.3499999999999997E-3</v>
      </c>
      <c r="L28" s="66">
        <v>-3.9899999999999996E-3</v>
      </c>
      <c r="M28" s="66">
        <v>5.8700000000000002E-3</v>
      </c>
      <c r="N28" s="66">
        <v>-1.7799999999999999E-3</v>
      </c>
      <c r="O28" s="66">
        <v>-1.7000000000000001E-4</v>
      </c>
      <c r="P28" s="66">
        <v>-4.0400000000000002E-3</v>
      </c>
      <c r="Q28" s="66">
        <v>-5.1799999999999997E-3</v>
      </c>
      <c r="R28" s="67">
        <v>9.9500000000000005E-3</v>
      </c>
      <c r="S28" s="62"/>
      <c r="T28" s="150"/>
      <c r="U28" s="229">
        <f t="shared" si="0"/>
        <v>25</v>
      </c>
      <c r="V28" s="131" t="s">
        <v>61</v>
      </c>
      <c r="W28" s="130" t="s">
        <v>158</v>
      </c>
    </row>
    <row r="29" spans="1:23" s="14" customFormat="1" ht="12.75" customHeight="1">
      <c r="A29" s="63" t="s">
        <v>62</v>
      </c>
      <c r="B29" s="38">
        <v>1</v>
      </c>
      <c r="C29" s="22"/>
      <c r="D29" s="34"/>
      <c r="E29" s="21">
        <v>5.1900000000000002E-3</v>
      </c>
      <c r="F29" s="21">
        <v>8.5400000000000007E-3</v>
      </c>
      <c r="G29" s="21">
        <v>-5.5999999999999995E-4</v>
      </c>
      <c r="H29" s="21">
        <v>2.4099999999999998E-3</v>
      </c>
      <c r="I29" s="21">
        <v>4.3400000000000001E-3</v>
      </c>
      <c r="J29" s="21">
        <v>-9.5899999999999996E-3</v>
      </c>
      <c r="K29" s="21">
        <v>4.2100000000000002E-3</v>
      </c>
      <c r="L29" s="21">
        <v>-4.0200000000000001E-3</v>
      </c>
      <c r="M29" s="21">
        <v>5.8100000000000001E-3</v>
      </c>
      <c r="N29" s="21">
        <v>-1.7899999999999999E-3</v>
      </c>
      <c r="O29" s="21">
        <v>-1.7000000000000001E-4</v>
      </c>
      <c r="P29" s="21">
        <v>-4.13E-3</v>
      </c>
      <c r="Q29" s="21">
        <v>-5.2100000000000002E-3</v>
      </c>
      <c r="R29" s="60">
        <v>1.0059999999999999E-2</v>
      </c>
      <c r="S29" s="62"/>
      <c r="T29" s="150"/>
      <c r="U29" s="229">
        <f t="shared" si="0"/>
        <v>26</v>
      </c>
      <c r="V29" s="131" t="s">
        <v>62</v>
      </c>
      <c r="W29" s="130" t="s">
        <v>159</v>
      </c>
    </row>
    <row r="30" spans="1:23" s="14" customFormat="1" ht="12.75" customHeight="1">
      <c r="A30" s="63" t="s">
        <v>63</v>
      </c>
      <c r="B30" s="38">
        <v>1</v>
      </c>
      <c r="C30" s="22"/>
      <c r="D30" s="34"/>
      <c r="E30" s="21">
        <v>6.6600000000000001E-3</v>
      </c>
      <c r="F30" s="21">
        <v>1.1089999999999999E-2</v>
      </c>
      <c r="G30" s="21">
        <v>-7.2999999999999996E-4</v>
      </c>
      <c r="H30" s="21">
        <v>3.9500000000000004E-3</v>
      </c>
      <c r="I30" s="21">
        <v>5.64E-3</v>
      </c>
      <c r="J30" s="21">
        <v>-1.223E-2</v>
      </c>
      <c r="K30" s="21">
        <v>5.64E-3</v>
      </c>
      <c r="L30" s="21">
        <v>-5.2199999999999998E-3</v>
      </c>
      <c r="M30" s="21">
        <v>7.6499999999999997E-3</v>
      </c>
      <c r="N30" s="21">
        <v>-2.3800000000000002E-3</v>
      </c>
      <c r="O30" s="21">
        <v>-2.2000000000000001E-4</v>
      </c>
      <c r="P30" s="21">
        <v>-5.3099999999999996E-3</v>
      </c>
      <c r="Q30" s="21">
        <v>-6.7099999999999998E-3</v>
      </c>
      <c r="R30" s="60">
        <v>1.3050000000000001E-2</v>
      </c>
      <c r="S30" s="62"/>
      <c r="T30" s="150"/>
      <c r="U30" s="229">
        <f t="shared" si="0"/>
        <v>27</v>
      </c>
      <c r="V30" s="131" t="s">
        <v>63</v>
      </c>
      <c r="W30" s="130" t="s">
        <v>160</v>
      </c>
    </row>
    <row r="31" spans="1:23" s="14" customFormat="1" ht="12.75" customHeight="1">
      <c r="A31" s="63" t="s">
        <v>64</v>
      </c>
      <c r="B31" s="38">
        <v>1</v>
      </c>
      <c r="C31" s="22"/>
      <c r="D31" s="34"/>
      <c r="E31" s="21">
        <v>6.8199999999999997E-3</v>
      </c>
      <c r="F31" s="21">
        <v>1.128E-2</v>
      </c>
      <c r="G31" s="21">
        <v>-7.3999999999999999E-4</v>
      </c>
      <c r="H31" s="21">
        <v>3.0000000000000001E-3</v>
      </c>
      <c r="I31" s="21">
        <v>5.7099999999999998E-3</v>
      </c>
      <c r="J31" s="21">
        <v>-1.264E-2</v>
      </c>
      <c r="K31" s="21">
        <v>5.5199999999999997E-3</v>
      </c>
      <c r="L31" s="21">
        <v>-5.3099999999999996E-3</v>
      </c>
      <c r="M31" s="21">
        <v>7.6499999999999997E-3</v>
      </c>
      <c r="N31" s="21">
        <v>-2.4099999999999998E-3</v>
      </c>
      <c r="O31" s="21">
        <v>-2.1000000000000001E-4</v>
      </c>
      <c r="P31" s="21">
        <v>-5.4400000000000004E-3</v>
      </c>
      <c r="Q31" s="21">
        <v>-6.8100000000000001E-3</v>
      </c>
      <c r="R31" s="60">
        <v>1.3310000000000001E-2</v>
      </c>
      <c r="S31" s="62"/>
      <c r="T31" s="150"/>
      <c r="U31" s="229">
        <f t="shared" si="0"/>
        <v>28</v>
      </c>
      <c r="V31" s="131" t="s">
        <v>64</v>
      </c>
      <c r="W31" s="130" t="s">
        <v>161</v>
      </c>
    </row>
    <row r="32" spans="1:23" s="14" customFormat="1" ht="12.75" customHeight="1">
      <c r="A32" s="230" t="s">
        <v>65</v>
      </c>
      <c r="B32" s="38">
        <v>1</v>
      </c>
      <c r="C32" s="22"/>
      <c r="D32" s="34"/>
      <c r="E32" s="21">
        <v>1.2E-2</v>
      </c>
      <c r="F32" s="21">
        <v>5.8599999999999998E-3</v>
      </c>
      <c r="G32" s="21">
        <v>2.9399999999999999E-3</v>
      </c>
      <c r="H32" s="21">
        <v>6.2E-4</v>
      </c>
      <c r="I32" s="21">
        <v>3.13E-3</v>
      </c>
      <c r="J32" s="21">
        <v>-1.7489999999999999E-2</v>
      </c>
      <c r="K32" s="21">
        <v>-5.7099999999999998E-3</v>
      </c>
      <c r="L32" s="21">
        <v>-2.7699999999999999E-3</v>
      </c>
      <c r="M32" s="21">
        <v>-4.0000000000000002E-4</v>
      </c>
      <c r="N32" s="21">
        <v>4.1900000000000001E-3</v>
      </c>
      <c r="O32" s="21">
        <v>2.8400000000000001E-3</v>
      </c>
      <c r="P32" s="21">
        <v>-2.97E-3</v>
      </c>
      <c r="Q32" s="21">
        <v>6.0800000000000003E-3</v>
      </c>
      <c r="R32" s="60">
        <v>5.7800000000000004E-3</v>
      </c>
      <c r="S32" s="62"/>
      <c r="T32" s="150">
        <v>1</v>
      </c>
      <c r="U32" s="129">
        <f t="shared" si="0"/>
        <v>29</v>
      </c>
      <c r="V32" s="128" t="s">
        <v>65</v>
      </c>
      <c r="W32" s="229"/>
    </row>
    <row r="33" spans="1:23" s="14" customFormat="1" ht="12.75" customHeight="1">
      <c r="A33" s="63" t="s">
        <v>66</v>
      </c>
      <c r="B33" s="38">
        <v>1</v>
      </c>
      <c r="C33" s="22"/>
      <c r="D33" s="34"/>
      <c r="E33" s="21">
        <v>6.3899999999999998E-3</v>
      </c>
      <c r="F33" s="21">
        <v>4.6600000000000001E-3</v>
      </c>
      <c r="G33" s="21">
        <v>1.07E-3</v>
      </c>
      <c r="H33" s="21">
        <v>1.2999999999999999E-3</v>
      </c>
      <c r="I33" s="21">
        <v>1.6999999999999999E-3</v>
      </c>
      <c r="J33" s="21">
        <v>-1.095E-2</v>
      </c>
      <c r="K33" s="21">
        <v>-3.7299999999999998E-3</v>
      </c>
      <c r="L33" s="21">
        <v>-2.2000000000000001E-3</v>
      </c>
      <c r="M33" s="21">
        <v>-5.2999999999999998E-4</v>
      </c>
      <c r="N33" s="21">
        <v>4.2399999999999998E-3</v>
      </c>
      <c r="O33" s="21">
        <v>8.1999999999999998E-4</v>
      </c>
      <c r="P33" s="21">
        <v>-2.3600000000000001E-3</v>
      </c>
      <c r="Q33" s="21">
        <v>-1.8400000000000001E-3</v>
      </c>
      <c r="R33" s="60">
        <v>1.81E-3</v>
      </c>
      <c r="S33" s="62"/>
      <c r="T33" s="150"/>
      <c r="U33" s="229">
        <f t="shared" si="0"/>
        <v>30</v>
      </c>
      <c r="V33" s="131" t="s">
        <v>66</v>
      </c>
      <c r="W33" s="130" t="s">
        <v>162</v>
      </c>
    </row>
    <row r="34" spans="1:23" s="14" customFormat="1" ht="12.75" customHeight="1">
      <c r="A34" s="63" t="s">
        <v>67</v>
      </c>
      <c r="B34" s="38">
        <v>1</v>
      </c>
      <c r="C34" s="22"/>
      <c r="D34" s="34"/>
      <c r="E34" s="21">
        <v>6.2100000000000002E-3</v>
      </c>
      <c r="F34" s="21">
        <v>4.2399999999999998E-3</v>
      </c>
      <c r="G34" s="21">
        <v>-9.1E-4</v>
      </c>
      <c r="H34" s="21">
        <v>1.3799999999999999E-3</v>
      </c>
      <c r="I34" s="21">
        <v>1.6199999999999999E-3</v>
      </c>
      <c r="J34" s="21">
        <v>-1.038E-2</v>
      </c>
      <c r="K34" s="21">
        <v>-3.5699999999999998E-3</v>
      </c>
      <c r="L34" s="21">
        <v>-2.0100000000000001E-3</v>
      </c>
      <c r="M34" s="21">
        <v>-5.1999999999999995E-4</v>
      </c>
      <c r="N34" s="21">
        <v>5.1500000000000001E-3</v>
      </c>
      <c r="O34" s="21">
        <v>-1.2099999999999999E-3</v>
      </c>
      <c r="P34" s="21">
        <v>-2.1700000000000001E-3</v>
      </c>
      <c r="Q34" s="21">
        <v>-2.65E-3</v>
      </c>
      <c r="R34" s="60">
        <v>4.5599999999999998E-3</v>
      </c>
      <c r="S34" s="62"/>
      <c r="T34" s="150"/>
      <c r="U34" s="229">
        <f t="shared" si="0"/>
        <v>31</v>
      </c>
      <c r="V34" s="131" t="s">
        <v>67</v>
      </c>
      <c r="W34" s="130" t="s">
        <v>164</v>
      </c>
    </row>
    <row r="35" spans="1:23" s="14" customFormat="1" ht="12.75" customHeight="1">
      <c r="A35" s="63" t="s">
        <v>68</v>
      </c>
      <c r="B35" s="38">
        <v>1</v>
      </c>
      <c r="C35" s="22"/>
      <c r="D35" s="34"/>
      <c r="E35" s="21">
        <v>6.1399999999999996E-3</v>
      </c>
      <c r="F35" s="21">
        <v>4.1799999999999997E-3</v>
      </c>
      <c r="G35" s="21">
        <v>-6.9999999999999994E-5</v>
      </c>
      <c r="H35" s="21">
        <v>1.39E-3</v>
      </c>
      <c r="I35" s="21">
        <v>1.6000000000000001E-3</v>
      </c>
      <c r="J35" s="21">
        <v>-1.025E-2</v>
      </c>
      <c r="K35" s="21">
        <v>-3.5200000000000001E-3</v>
      </c>
      <c r="L35" s="21">
        <v>-1.98E-3</v>
      </c>
      <c r="M35" s="21">
        <v>-5.0000000000000001E-4</v>
      </c>
      <c r="N35" s="21">
        <v>-9.1E-4</v>
      </c>
      <c r="O35" s="21">
        <v>-3.6000000000000002E-4</v>
      </c>
      <c r="P35" s="21">
        <v>-2.14E-3</v>
      </c>
      <c r="Q35" s="21">
        <v>-2.5899999999999999E-3</v>
      </c>
      <c r="R35" s="60">
        <v>4.8300000000000001E-3</v>
      </c>
      <c r="S35" s="62"/>
      <c r="T35" s="150"/>
      <c r="U35" s="229">
        <f t="shared" si="0"/>
        <v>32</v>
      </c>
      <c r="V35" s="131" t="s">
        <v>68</v>
      </c>
      <c r="W35" s="130" t="s">
        <v>163</v>
      </c>
    </row>
    <row r="36" spans="1:23" s="14" customFormat="1" ht="12.75" customHeight="1">
      <c r="A36" s="230" t="s">
        <v>69</v>
      </c>
      <c r="B36" s="38">
        <v>1</v>
      </c>
      <c r="C36" s="22"/>
      <c r="D36" s="34"/>
      <c r="E36" s="21">
        <v>4.0000000000000001E-3</v>
      </c>
      <c r="F36" s="21">
        <v>4.2900000000000004E-3</v>
      </c>
      <c r="G36" s="21">
        <v>2.7E-4</v>
      </c>
      <c r="H36" s="21">
        <v>-6.2E-4</v>
      </c>
      <c r="I36" s="21">
        <v>1.2999999999999999E-3</v>
      </c>
      <c r="J36" s="21">
        <v>7.3600000000000002E-3</v>
      </c>
      <c r="K36" s="21">
        <v>4.8300000000000001E-3</v>
      </c>
      <c r="L36" s="21">
        <v>-2.0300000000000001E-3</v>
      </c>
      <c r="M36" s="21">
        <v>1.98E-3</v>
      </c>
      <c r="N36" s="21">
        <v>-3.0000000000000001E-5</v>
      </c>
      <c r="O36" s="21">
        <v>4.0999999999999999E-4</v>
      </c>
      <c r="P36" s="21">
        <v>-8.8999999999999995E-4</v>
      </c>
      <c r="Q36" s="21">
        <v>-1.0300000000000001E-3</v>
      </c>
      <c r="R36" s="60">
        <v>4.8900000000000002E-3</v>
      </c>
      <c r="S36" s="62"/>
      <c r="T36" s="150">
        <v>1</v>
      </c>
      <c r="U36" s="129">
        <f t="shared" si="0"/>
        <v>33</v>
      </c>
      <c r="V36" s="128" t="s">
        <v>69</v>
      </c>
      <c r="W36" s="229"/>
    </row>
    <row r="37" spans="1:23" s="14" customFormat="1" ht="12.75" customHeight="1">
      <c r="A37" s="63" t="s">
        <v>70</v>
      </c>
      <c r="B37" s="38">
        <v>1</v>
      </c>
      <c r="C37" s="22"/>
      <c r="D37" s="34"/>
      <c r="E37" s="21">
        <v>1.274E-2</v>
      </c>
      <c r="F37" s="21">
        <v>5.2300000000000003E-3</v>
      </c>
      <c r="G37" s="21">
        <v>3.3500000000000001E-3</v>
      </c>
      <c r="H37" s="21">
        <v>1.1800000000000001E-3</v>
      </c>
      <c r="I37" s="21">
        <v>-1.89E-3</v>
      </c>
      <c r="J37" s="21">
        <v>8.5800000000000008E-3</v>
      </c>
      <c r="K37" s="21">
        <v>2.7399999999999998E-3</v>
      </c>
      <c r="L37" s="21">
        <v>-2.47E-3</v>
      </c>
      <c r="M37" s="21">
        <v>-8.3000000000000001E-4</v>
      </c>
      <c r="N37" s="21">
        <v>4.9899999999999996E-3</v>
      </c>
      <c r="O37" s="21">
        <v>3.1800000000000001E-3</v>
      </c>
      <c r="P37" s="21">
        <v>7.3800000000000003E-3</v>
      </c>
      <c r="Q37" s="21">
        <v>7.5100000000000002E-3</v>
      </c>
      <c r="R37" s="60">
        <v>5.0200000000000002E-3</v>
      </c>
      <c r="S37" s="62"/>
      <c r="T37" s="150"/>
      <c r="U37" s="229">
        <f t="shared" si="0"/>
        <v>34</v>
      </c>
      <c r="V37" s="131" t="s">
        <v>70</v>
      </c>
      <c r="W37" s="130" t="s">
        <v>156</v>
      </c>
    </row>
    <row r="38" spans="1:23" s="14" customFormat="1" ht="12.75" customHeight="1">
      <c r="A38" s="230" t="s">
        <v>71</v>
      </c>
      <c r="B38" s="38">
        <v>1</v>
      </c>
      <c r="C38" s="22"/>
      <c r="D38" s="34"/>
      <c r="E38" s="21">
        <v>1.35E-2</v>
      </c>
      <c r="F38" s="21">
        <v>6.6899999999999998E-3</v>
      </c>
      <c r="G38" s="21">
        <v>3.2599999999999999E-3</v>
      </c>
      <c r="H38" s="21">
        <v>7.5000000000000002E-4</v>
      </c>
      <c r="I38" s="21">
        <v>2.8900000000000002E-3</v>
      </c>
      <c r="J38" s="21">
        <v>-5.1000000000000004E-3</v>
      </c>
      <c r="K38" s="21">
        <v>-1.15E-3</v>
      </c>
      <c r="L38" s="21">
        <v>-3.16E-3</v>
      </c>
      <c r="M38" s="21">
        <v>1.8000000000000001E-4</v>
      </c>
      <c r="N38" s="21">
        <v>4.64E-3</v>
      </c>
      <c r="O38" s="21">
        <v>3.15E-3</v>
      </c>
      <c r="P38" s="21">
        <v>-2.0500000000000002E-3</v>
      </c>
      <c r="Q38" s="21">
        <v>6.6400000000000001E-3</v>
      </c>
      <c r="R38" s="60">
        <v>6.6499999999999997E-3</v>
      </c>
      <c r="S38" s="62"/>
      <c r="T38" s="150">
        <v>1</v>
      </c>
      <c r="U38" s="129">
        <f t="shared" si="0"/>
        <v>35</v>
      </c>
      <c r="V38" s="128" t="s">
        <v>71</v>
      </c>
      <c r="W38" s="229"/>
    </row>
    <row r="39" spans="1:23" s="14" customFormat="1" ht="12.75" customHeight="1">
      <c r="A39" s="230" t="s">
        <v>72</v>
      </c>
      <c r="B39" s="38">
        <v>1</v>
      </c>
      <c r="C39" s="22"/>
      <c r="D39" s="34"/>
      <c r="E39" s="21">
        <v>1.6039999999999999E-2</v>
      </c>
      <c r="F39" s="21">
        <v>1.023E-2</v>
      </c>
      <c r="G39" s="21">
        <v>3.2299999999999998E-3</v>
      </c>
      <c r="H39" s="21">
        <v>-1.0000000000000001E-5</v>
      </c>
      <c r="I39" s="21">
        <v>3.79E-3</v>
      </c>
      <c r="J39" s="21">
        <v>-1.1220000000000001E-2</v>
      </c>
      <c r="K39" s="21">
        <v>-3.0599999999999998E-3</v>
      </c>
      <c r="L39" s="21">
        <v>-4.81E-3</v>
      </c>
      <c r="M39" s="21">
        <v>-1E-4</v>
      </c>
      <c r="N39" s="21">
        <v>4.1599999999999996E-3</v>
      </c>
      <c r="O39" s="21">
        <v>3.2599999999999999E-3</v>
      </c>
      <c r="P39" s="21">
        <v>-3.8999999999999998E-3</v>
      </c>
      <c r="Q39" s="21">
        <v>5.0800000000000003E-3</v>
      </c>
      <c r="R39" s="60">
        <v>1.0699999999999999E-2</v>
      </c>
      <c r="S39" s="62"/>
      <c r="T39" s="150">
        <v>1</v>
      </c>
      <c r="U39" s="129">
        <f t="shared" si="0"/>
        <v>36</v>
      </c>
      <c r="V39" s="128" t="s">
        <v>72</v>
      </c>
      <c r="W39" s="229"/>
    </row>
    <row r="40" spans="1:23" s="14" customFormat="1" ht="12.75" customHeight="1">
      <c r="A40" s="63" t="s">
        <v>73</v>
      </c>
      <c r="B40" s="38">
        <v>1</v>
      </c>
      <c r="C40" s="22"/>
      <c r="D40" s="34"/>
      <c r="E40" s="21">
        <v>1.095E-2</v>
      </c>
      <c r="F40" s="21">
        <v>8.0700000000000008E-3</v>
      </c>
      <c r="G40" s="21">
        <v>1.5200000000000001E-3</v>
      </c>
      <c r="H40" s="21">
        <v>7.6000000000000004E-4</v>
      </c>
      <c r="I40" s="21">
        <v>2.4399999999999999E-3</v>
      </c>
      <c r="J40" s="21">
        <v>-4.3200000000000001E-3</v>
      </c>
      <c r="K40" s="21">
        <v>-9.5E-4</v>
      </c>
      <c r="L40" s="21">
        <v>-3.8E-3</v>
      </c>
      <c r="M40" s="21">
        <v>-1.1E-4</v>
      </c>
      <c r="N40" s="21">
        <v>4.5100000000000001E-3</v>
      </c>
      <c r="O40" s="21">
        <v>1.3799999999999999E-3</v>
      </c>
      <c r="P40" s="21">
        <v>-2.8500000000000001E-3</v>
      </c>
      <c r="Q40" s="21">
        <v>-2.4599999999999999E-3</v>
      </c>
      <c r="R40" s="60">
        <v>6.7999999999999996E-3</v>
      </c>
      <c r="S40" s="62"/>
      <c r="T40" s="150"/>
      <c r="U40" s="229">
        <f t="shared" si="0"/>
        <v>37</v>
      </c>
      <c r="V40" s="131" t="s">
        <v>73</v>
      </c>
      <c r="W40" s="130" t="s">
        <v>168</v>
      </c>
    </row>
    <row r="41" spans="1:23" s="14" customFormat="1" ht="12.75" customHeight="1">
      <c r="A41" s="63" t="s">
        <v>74</v>
      </c>
      <c r="B41" s="38">
        <v>1</v>
      </c>
      <c r="C41" s="22"/>
      <c r="D41" s="34"/>
      <c r="E41" s="21">
        <v>1.081E-2</v>
      </c>
      <c r="F41" s="21">
        <v>7.7000000000000002E-3</v>
      </c>
      <c r="G41" s="21">
        <v>-6.4999999999999997E-4</v>
      </c>
      <c r="H41" s="21">
        <v>8.4000000000000003E-4</v>
      </c>
      <c r="I41" s="21">
        <v>2.3800000000000002E-3</v>
      </c>
      <c r="J41" s="21">
        <v>-3.8300000000000001E-3</v>
      </c>
      <c r="K41" s="21">
        <v>-8.3000000000000001E-4</v>
      </c>
      <c r="L41" s="21">
        <v>-3.63E-3</v>
      </c>
      <c r="M41" s="21">
        <v>-1.1E-4</v>
      </c>
      <c r="N41" s="21">
        <v>5.4900000000000001E-3</v>
      </c>
      <c r="O41" s="21">
        <v>-8.3000000000000001E-4</v>
      </c>
      <c r="P41" s="21">
        <v>-2.6800000000000001E-3</v>
      </c>
      <c r="Q41" s="21">
        <v>-3.2299999999999998E-3</v>
      </c>
      <c r="R41" s="60">
        <v>9.8899999999999995E-3</v>
      </c>
      <c r="S41" s="62"/>
      <c r="T41" s="150"/>
      <c r="U41" s="229">
        <f t="shared" si="0"/>
        <v>38</v>
      </c>
      <c r="V41" s="131" t="s">
        <v>74</v>
      </c>
      <c r="W41" s="130" t="s">
        <v>169</v>
      </c>
    </row>
    <row r="42" spans="1:23" s="14" customFormat="1" ht="12.75" customHeight="1">
      <c r="A42" s="63" t="s">
        <v>75</v>
      </c>
      <c r="B42" s="38">
        <v>1</v>
      </c>
      <c r="C42" s="22"/>
      <c r="D42" s="34"/>
      <c r="E42" s="21">
        <v>1.073E-2</v>
      </c>
      <c r="F42" s="21">
        <v>7.6499999999999997E-3</v>
      </c>
      <c r="G42" s="21">
        <v>2.3000000000000001E-4</v>
      </c>
      <c r="H42" s="21">
        <v>8.4999999999999995E-4</v>
      </c>
      <c r="I42" s="21">
        <v>2.3600000000000001E-3</v>
      </c>
      <c r="J42" s="21">
        <v>-3.7100000000000002E-3</v>
      </c>
      <c r="K42" s="21">
        <v>-7.7999999999999999E-4</v>
      </c>
      <c r="L42" s="21">
        <v>-3.6099999999999999E-3</v>
      </c>
      <c r="M42" s="21">
        <v>-9.0000000000000006E-5</v>
      </c>
      <c r="N42" s="21">
        <v>-7.7999999999999999E-4</v>
      </c>
      <c r="O42" s="21">
        <v>6.0000000000000002E-5</v>
      </c>
      <c r="P42" s="21">
        <v>-2.65E-3</v>
      </c>
      <c r="Q42" s="21">
        <v>-3.1700000000000001E-3</v>
      </c>
      <c r="R42" s="60">
        <v>8.7899999999999992E-3</v>
      </c>
      <c r="S42" s="62"/>
      <c r="T42" s="150"/>
      <c r="U42" s="229">
        <f t="shared" si="0"/>
        <v>39</v>
      </c>
      <c r="V42" s="131" t="s">
        <v>75</v>
      </c>
      <c r="W42" s="130" t="s">
        <v>170</v>
      </c>
    </row>
    <row r="43" spans="1:23" s="14" customFormat="1" ht="12.75" customHeight="1">
      <c r="A43" s="63" t="s">
        <v>76</v>
      </c>
      <c r="B43" s="38">
        <v>1</v>
      </c>
      <c r="C43" s="22"/>
      <c r="D43" s="34"/>
      <c r="E43" s="21">
        <v>1.4500000000000001E-2</v>
      </c>
      <c r="F43" s="21">
        <v>7.7299999999999999E-3</v>
      </c>
      <c r="G43" s="21">
        <v>3.5000000000000001E-3</v>
      </c>
      <c r="H43" s="21">
        <v>8.0999999999999996E-4</v>
      </c>
      <c r="I43" s="21">
        <v>-4.3499999999999997E-3</v>
      </c>
      <c r="J43" s="21">
        <v>1.329E-2</v>
      </c>
      <c r="K43" s="21">
        <v>3.9300000000000003E-3</v>
      </c>
      <c r="L43" s="21">
        <v>-3.65E-3</v>
      </c>
      <c r="M43" s="21">
        <v>-1.65E-3</v>
      </c>
      <c r="N43" s="21">
        <v>4.9300000000000004E-3</v>
      </c>
      <c r="O43" s="21">
        <v>3.4099999999999998E-3</v>
      </c>
      <c r="P43" s="21">
        <v>6.96E-3</v>
      </c>
      <c r="Q43" s="21">
        <v>6.8700000000000002E-3</v>
      </c>
      <c r="R43" s="60">
        <v>7.8700000000000003E-3</v>
      </c>
      <c r="S43" s="62"/>
      <c r="T43" s="150"/>
      <c r="U43" s="229">
        <f t="shared" si="0"/>
        <v>40</v>
      </c>
      <c r="V43" s="131" t="s">
        <v>76</v>
      </c>
      <c r="W43" s="130" t="s">
        <v>167</v>
      </c>
    </row>
    <row r="44" spans="1:23" s="14" customFormat="1" ht="12.75" customHeight="1">
      <c r="A44" s="230" t="s">
        <v>77</v>
      </c>
      <c r="B44" s="38">
        <v>1</v>
      </c>
      <c r="C44" s="22"/>
      <c r="D44" s="34"/>
      <c r="E44" s="21">
        <v>1.528E-2</v>
      </c>
      <c r="F44" s="21">
        <v>8.8900000000000003E-3</v>
      </c>
      <c r="G44" s="21">
        <v>3.3400000000000001E-3</v>
      </c>
      <c r="H44" s="21">
        <v>3.8000000000000002E-4</v>
      </c>
      <c r="I44" s="21">
        <v>7.2000000000000005E-4</v>
      </c>
      <c r="J44" s="21">
        <v>-2E-3</v>
      </c>
      <c r="K44" s="21">
        <v>-3.8999999999999999E-4</v>
      </c>
      <c r="L44" s="21">
        <v>-4.1900000000000001E-3</v>
      </c>
      <c r="M44" s="21">
        <v>-6.9999999999999999E-4</v>
      </c>
      <c r="N44" s="21">
        <v>4.5100000000000001E-3</v>
      </c>
      <c r="O44" s="21">
        <v>3.31E-3</v>
      </c>
      <c r="P44" s="21">
        <v>-3.0500000000000002E-3</v>
      </c>
      <c r="Q44" s="21">
        <v>5.94E-3</v>
      </c>
      <c r="R44" s="60">
        <v>9.1800000000000007E-3</v>
      </c>
      <c r="S44" s="62"/>
      <c r="T44" s="150">
        <v>1</v>
      </c>
      <c r="U44" s="129">
        <f t="shared" si="0"/>
        <v>41</v>
      </c>
      <c r="V44" s="128" t="s">
        <v>77</v>
      </c>
      <c r="W44" s="229"/>
    </row>
    <row r="45" spans="1:23" s="14" customFormat="1" ht="12.75" customHeight="1">
      <c r="A45" s="63" t="s">
        <v>78</v>
      </c>
      <c r="B45" s="38">
        <v>1</v>
      </c>
      <c r="C45" s="22"/>
      <c r="D45" s="34"/>
      <c r="E45" s="21">
        <v>1.8200000000000001E-2</v>
      </c>
      <c r="F45" s="21">
        <v>1.298E-2</v>
      </c>
      <c r="G45" s="21">
        <v>3.31E-3</v>
      </c>
      <c r="H45" s="21">
        <v>-4.8999999999999998E-4</v>
      </c>
      <c r="I45" s="21">
        <v>1.73E-3</v>
      </c>
      <c r="J45" s="21">
        <v>-9.0200000000000002E-3</v>
      </c>
      <c r="K45" s="21">
        <v>-2.5799999999999998E-3</v>
      </c>
      <c r="L45" s="21">
        <v>-6.1000000000000004E-3</v>
      </c>
      <c r="M45" s="21">
        <v>-1.0200000000000001E-3</v>
      </c>
      <c r="N45" s="21">
        <v>3.9699999999999996E-3</v>
      </c>
      <c r="O45" s="21">
        <v>3.4399999999999999E-3</v>
      </c>
      <c r="P45" s="21">
        <v>-5.1599999999999997E-3</v>
      </c>
      <c r="Q45" s="21">
        <v>4.15E-3</v>
      </c>
      <c r="R45" s="60">
        <v>1.3860000000000001E-2</v>
      </c>
      <c r="S45" s="62"/>
      <c r="T45" s="150"/>
      <c r="U45" s="229">
        <f t="shared" si="0"/>
        <v>42</v>
      </c>
      <c r="V45" s="131" t="s">
        <v>78</v>
      </c>
      <c r="W45" s="130" t="s">
        <v>171</v>
      </c>
    </row>
    <row r="46" spans="1:23" s="14" customFormat="1" ht="12.75" customHeight="1">
      <c r="A46" s="63" t="s">
        <v>79</v>
      </c>
      <c r="B46" s="38">
        <v>1</v>
      </c>
      <c r="C46" s="22"/>
      <c r="D46" s="34"/>
      <c r="E46" s="21">
        <v>1.355E-2</v>
      </c>
      <c r="F46" s="21">
        <v>9.5399999999999999E-3</v>
      </c>
      <c r="G46" s="21">
        <v>1.6999999999999999E-3</v>
      </c>
      <c r="H46" s="21">
        <v>4.4000000000000002E-4</v>
      </c>
      <c r="I46" s="21">
        <v>4.2999999999999999E-4</v>
      </c>
      <c r="J46" s="21">
        <v>-1.25E-3</v>
      </c>
      <c r="K46" s="21">
        <v>-2.0000000000000001E-4</v>
      </c>
      <c r="L46" s="21">
        <v>-4.4900000000000001E-3</v>
      </c>
      <c r="M46" s="21">
        <v>-8.5999999999999998E-4</v>
      </c>
      <c r="N46" s="21">
        <v>4.7000000000000002E-3</v>
      </c>
      <c r="O46" s="21">
        <v>1.6299999999999999E-3</v>
      </c>
      <c r="P46" s="21">
        <v>-3.5000000000000001E-3</v>
      </c>
      <c r="Q46" s="21">
        <v>-3.3500000000000001E-3</v>
      </c>
      <c r="R46" s="60">
        <v>9.92E-3</v>
      </c>
      <c r="S46" s="62"/>
      <c r="T46" s="150"/>
      <c r="U46" s="229">
        <f t="shared" si="0"/>
        <v>43</v>
      </c>
      <c r="V46" s="131" t="s">
        <v>79</v>
      </c>
      <c r="W46" s="130" t="s">
        <v>174</v>
      </c>
    </row>
    <row r="47" spans="1:23" s="14" customFormat="1" ht="12.75" customHeight="1">
      <c r="A47" s="63" t="s">
        <v>80</v>
      </c>
      <c r="B47" s="38">
        <v>1</v>
      </c>
      <c r="C47" s="22"/>
      <c r="D47" s="34"/>
      <c r="E47" s="21">
        <v>1.349E-2</v>
      </c>
      <c r="F47" s="21">
        <v>9.2599999999999991E-3</v>
      </c>
      <c r="G47" s="21">
        <v>-8.0000000000000004E-4</v>
      </c>
      <c r="H47" s="21">
        <v>4.8999999999999998E-4</v>
      </c>
      <c r="I47" s="21">
        <v>3.8000000000000002E-4</v>
      </c>
      <c r="J47" s="21">
        <v>-9.3000000000000005E-4</v>
      </c>
      <c r="K47" s="21">
        <v>-1.2999999999999999E-4</v>
      </c>
      <c r="L47" s="21">
        <v>-4.3600000000000002E-3</v>
      </c>
      <c r="M47" s="21">
        <v>-8.5999999999999998E-4</v>
      </c>
      <c r="N47" s="21">
        <v>5.7999999999999996E-3</v>
      </c>
      <c r="O47" s="21">
        <v>-9.1E-4</v>
      </c>
      <c r="P47" s="21">
        <v>-3.3700000000000002E-3</v>
      </c>
      <c r="Q47" s="21">
        <v>-4.0400000000000002E-3</v>
      </c>
      <c r="R47" s="60">
        <v>1.3650000000000001E-2</v>
      </c>
      <c r="S47" s="62"/>
      <c r="T47" s="150"/>
      <c r="U47" s="229">
        <f t="shared" si="0"/>
        <v>44</v>
      </c>
      <c r="V47" s="131" t="s">
        <v>80</v>
      </c>
      <c r="W47" s="130" t="s">
        <v>175</v>
      </c>
    </row>
    <row r="48" spans="1:23" s="14" customFormat="1" ht="12.75" customHeight="1">
      <c r="A48" s="63" t="s">
        <v>81</v>
      </c>
      <c r="B48" s="38">
        <v>1</v>
      </c>
      <c r="C48" s="22"/>
      <c r="D48" s="34"/>
      <c r="E48" s="21">
        <v>1.338E-2</v>
      </c>
      <c r="F48" s="21">
        <v>9.1800000000000007E-3</v>
      </c>
      <c r="G48" s="21">
        <v>1.6000000000000001E-4</v>
      </c>
      <c r="H48" s="21">
        <v>5.1000000000000004E-4</v>
      </c>
      <c r="I48" s="21">
        <v>3.6000000000000002E-4</v>
      </c>
      <c r="J48" s="21">
        <v>-7.3999999999999999E-4</v>
      </c>
      <c r="K48" s="21">
        <v>-6.0000000000000002E-5</v>
      </c>
      <c r="L48" s="21">
        <v>-4.3200000000000001E-3</v>
      </c>
      <c r="M48" s="21">
        <v>-8.4999999999999995E-4</v>
      </c>
      <c r="N48" s="21">
        <v>-1.06E-3</v>
      </c>
      <c r="O48" s="21">
        <v>5.0000000000000002E-5</v>
      </c>
      <c r="P48" s="21">
        <v>-3.3400000000000001E-3</v>
      </c>
      <c r="Q48" s="21">
        <v>-4.0200000000000001E-3</v>
      </c>
      <c r="R48" s="60">
        <v>1.061E-2</v>
      </c>
      <c r="S48" s="62"/>
      <c r="T48" s="150"/>
      <c r="U48" s="229">
        <f t="shared" si="0"/>
        <v>45</v>
      </c>
      <c r="V48" s="131" t="s">
        <v>81</v>
      </c>
      <c r="W48" s="130" t="s">
        <v>176</v>
      </c>
    </row>
    <row r="49" spans="1:23" s="14" customFormat="1" ht="12.75" customHeight="1">
      <c r="A49" s="63" t="s">
        <v>82</v>
      </c>
      <c r="B49" s="38">
        <v>1</v>
      </c>
      <c r="C49" s="22"/>
      <c r="D49" s="34"/>
      <c r="E49" s="21">
        <v>-2.0000000000000002E-5</v>
      </c>
      <c r="F49" s="21">
        <v>0</v>
      </c>
      <c r="G49" s="21">
        <v>0</v>
      </c>
      <c r="H49" s="21">
        <v>0</v>
      </c>
      <c r="I49" s="21">
        <v>0</v>
      </c>
      <c r="J49" s="21">
        <v>0</v>
      </c>
      <c r="K49" s="21">
        <v>0</v>
      </c>
      <c r="L49" s="21">
        <v>0</v>
      </c>
      <c r="M49" s="21">
        <v>0</v>
      </c>
      <c r="N49" s="21">
        <v>0</v>
      </c>
      <c r="O49" s="21">
        <v>0</v>
      </c>
      <c r="P49" s="21">
        <v>0</v>
      </c>
      <c r="Q49" s="21">
        <v>0</v>
      </c>
      <c r="R49" s="60">
        <v>0</v>
      </c>
      <c r="S49" s="62"/>
      <c r="T49" s="150"/>
      <c r="U49" s="229">
        <f t="shared" si="0"/>
        <v>46</v>
      </c>
      <c r="V49" s="131" t="s">
        <v>82</v>
      </c>
      <c r="W49" s="130" t="s">
        <v>177</v>
      </c>
    </row>
    <row r="50" spans="1:23" s="14" customFormat="1" ht="12.75" customHeight="1">
      <c r="A50" s="63" t="s">
        <v>83</v>
      </c>
      <c r="B50" s="38">
        <v>1</v>
      </c>
      <c r="C50" s="22"/>
      <c r="D50" s="34"/>
      <c r="E50" s="21">
        <v>1.2189999999999999E-2</v>
      </c>
      <c r="F50" s="21">
        <v>4.6299999999999996E-3</v>
      </c>
      <c r="G50" s="21">
        <v>3.3500000000000001E-3</v>
      </c>
      <c r="H50" s="21">
        <v>1.2999999999999999E-3</v>
      </c>
      <c r="I50" s="21">
        <v>-1.1800000000000001E-3</v>
      </c>
      <c r="J50" s="21">
        <v>7.43E-3</v>
      </c>
      <c r="K50" s="21">
        <v>2.4599999999999999E-3</v>
      </c>
      <c r="L50" s="21">
        <v>-2.1900000000000001E-3</v>
      </c>
      <c r="M50" s="21">
        <v>-5.8E-4</v>
      </c>
      <c r="N50" s="21">
        <v>5.0600000000000003E-3</v>
      </c>
      <c r="O50" s="21">
        <v>3.16E-3</v>
      </c>
      <c r="P50" s="21">
        <v>7.5700000000000003E-3</v>
      </c>
      <c r="Q50" s="21">
        <v>7.7600000000000004E-3</v>
      </c>
      <c r="R50" s="60">
        <v>4.3200000000000001E-3</v>
      </c>
      <c r="S50" s="62"/>
      <c r="T50" s="150"/>
      <c r="U50" s="229">
        <f t="shared" si="0"/>
        <v>47</v>
      </c>
      <c r="V50" s="131" t="s">
        <v>83</v>
      </c>
      <c r="W50" s="130" t="s">
        <v>157</v>
      </c>
    </row>
    <row r="51" spans="1:23" s="14" customFormat="1" ht="12.75" customHeight="1">
      <c r="A51" s="63" t="s">
        <v>84</v>
      </c>
      <c r="B51" s="38">
        <v>1</v>
      </c>
      <c r="C51" s="22"/>
      <c r="D51" s="34"/>
      <c r="E51" s="21">
        <v>1.4710000000000001E-2</v>
      </c>
      <c r="F51" s="21">
        <v>7.5900000000000004E-3</v>
      </c>
      <c r="G51" s="21">
        <v>3.46E-3</v>
      </c>
      <c r="H51" s="21">
        <v>8.0999999999999996E-4</v>
      </c>
      <c r="I51" s="21">
        <v>-4.2500000000000003E-3</v>
      </c>
      <c r="J51" s="21">
        <v>1.304E-2</v>
      </c>
      <c r="K51" s="21">
        <v>3.8600000000000001E-3</v>
      </c>
      <c r="L51" s="21">
        <v>-3.5799999999999998E-3</v>
      </c>
      <c r="M51" s="21">
        <v>-1.6100000000000001E-3</v>
      </c>
      <c r="N51" s="21">
        <v>4.8900000000000002E-3</v>
      </c>
      <c r="O51" s="21">
        <v>3.3700000000000002E-3</v>
      </c>
      <c r="P51" s="21">
        <v>6.8999999999999999E-3</v>
      </c>
      <c r="Q51" s="21">
        <v>6.8199999999999997E-3</v>
      </c>
      <c r="R51" s="60">
        <v>7.7200000000000003E-3</v>
      </c>
      <c r="S51" s="62"/>
      <c r="T51" s="150"/>
      <c r="U51" s="229">
        <f t="shared" si="0"/>
        <v>48</v>
      </c>
      <c r="V51" s="131" t="s">
        <v>84</v>
      </c>
      <c r="W51" s="229"/>
    </row>
    <row r="52" spans="1:23" s="14" customFormat="1" ht="12.75" customHeight="1" thickBot="1">
      <c r="A52" s="63" t="s">
        <v>25</v>
      </c>
      <c r="B52" s="38">
        <v>1</v>
      </c>
      <c r="C52" s="22"/>
      <c r="D52" s="34"/>
      <c r="E52" s="21">
        <v>-6.0000000000000002E-5</v>
      </c>
      <c r="F52" s="21">
        <v>3.0000000000000001E-5</v>
      </c>
      <c r="G52" s="21">
        <v>1.64E-3</v>
      </c>
      <c r="H52" s="21">
        <v>-1.0000000000000001E-5</v>
      </c>
      <c r="I52" s="21">
        <v>6.0000000000000002E-5</v>
      </c>
      <c r="J52" s="21">
        <v>-1.3999999999999999E-4</v>
      </c>
      <c r="K52" s="21">
        <v>-1.0000000000000001E-5</v>
      </c>
      <c r="L52" s="21">
        <v>-2.0000000000000002E-5</v>
      </c>
      <c r="M52" s="21">
        <v>3.0000000000000001E-5</v>
      </c>
      <c r="N52" s="21">
        <v>-3.3E-4</v>
      </c>
      <c r="O52" s="21">
        <v>-2.8600000000000001E-3</v>
      </c>
      <c r="P52" s="21">
        <v>-2.0000000000000002E-5</v>
      </c>
      <c r="Q52" s="21">
        <v>4.0000000000000002E-4</v>
      </c>
      <c r="R52" s="60">
        <v>-1.9000000000000001E-4</v>
      </c>
      <c r="S52" s="62"/>
      <c r="T52" s="150"/>
      <c r="U52" s="229">
        <f t="shared" si="0"/>
        <v>49</v>
      </c>
      <c r="V52" s="131" t="s">
        <v>25</v>
      </c>
      <c r="W52" s="130" t="s">
        <v>148</v>
      </c>
    </row>
    <row r="53" spans="1:23" s="14" customFormat="1" ht="12.75" customHeight="1">
      <c r="A53" s="64" t="s">
        <v>26</v>
      </c>
      <c r="B53" s="51">
        <v>1</v>
      </c>
      <c r="C53" s="44"/>
      <c r="D53" s="52"/>
      <c r="E53" s="66">
        <v>2.0400000000000001E-3</v>
      </c>
      <c r="F53" s="66">
        <v>1.5100000000000001E-3</v>
      </c>
      <c r="G53" s="66">
        <v>-1.2E-4</v>
      </c>
      <c r="H53" s="66">
        <v>-4.0999999999999999E-4</v>
      </c>
      <c r="I53" s="66">
        <v>5.9999999999999995E-4</v>
      </c>
      <c r="J53" s="66">
        <v>-3.5100000000000001E-3</v>
      </c>
      <c r="K53" s="66">
        <v>-1.09E-3</v>
      </c>
      <c r="L53" s="66">
        <v>-7.1000000000000002E-4</v>
      </c>
      <c r="M53" s="66">
        <v>-6.9999999999999994E-5</v>
      </c>
      <c r="N53" s="66">
        <v>-3.6999999999999999E-4</v>
      </c>
      <c r="O53" s="66">
        <v>-5.0000000000000002E-5</v>
      </c>
      <c r="P53" s="66">
        <v>-8.0000000000000004E-4</v>
      </c>
      <c r="Q53" s="66">
        <v>-9.7000000000000005E-4</v>
      </c>
      <c r="R53" s="67">
        <v>1.7700000000000001E-3</v>
      </c>
      <c r="S53" s="62"/>
      <c r="T53" s="150"/>
      <c r="U53" s="229">
        <f t="shared" si="0"/>
        <v>50</v>
      </c>
      <c r="V53" s="131" t="s">
        <v>26</v>
      </c>
      <c r="W53" s="130" t="s">
        <v>166</v>
      </c>
    </row>
    <row r="54" spans="1:23" s="14" customFormat="1" ht="12.75" customHeight="1">
      <c r="A54" s="63" t="s">
        <v>27</v>
      </c>
      <c r="B54" s="38">
        <v>1</v>
      </c>
      <c r="C54" s="22"/>
      <c r="D54" s="34"/>
      <c r="E54" s="21">
        <v>-6.0000000000000002E-5</v>
      </c>
      <c r="F54" s="21">
        <v>-3.5E-4</v>
      </c>
      <c r="G54" s="21">
        <v>-3.1700000000000001E-3</v>
      </c>
      <c r="H54" s="21">
        <v>6.0000000000000002E-5</v>
      </c>
      <c r="I54" s="21">
        <v>3.0000000000000001E-5</v>
      </c>
      <c r="J54" s="21">
        <v>1.8000000000000001E-4</v>
      </c>
      <c r="K54" s="21">
        <v>1.0000000000000001E-5</v>
      </c>
      <c r="L54" s="21">
        <v>1.7000000000000001E-4</v>
      </c>
      <c r="M54" s="21">
        <v>1.0000000000000001E-5</v>
      </c>
      <c r="N54" s="21">
        <v>8.8000000000000003E-4</v>
      </c>
      <c r="O54" s="21">
        <v>7.77E-3</v>
      </c>
      <c r="P54" s="21">
        <v>1.4999999999999999E-4</v>
      </c>
      <c r="Q54" s="21">
        <v>-6.9999999999999999E-4</v>
      </c>
      <c r="R54" s="60">
        <v>8.0000000000000007E-5</v>
      </c>
      <c r="S54" s="62"/>
      <c r="T54" s="150"/>
      <c r="U54" s="229">
        <f t="shared" si="0"/>
        <v>51</v>
      </c>
      <c r="V54" s="131" t="s">
        <v>27</v>
      </c>
      <c r="W54" s="130" t="s">
        <v>148</v>
      </c>
    </row>
    <row r="55" spans="1:23" s="14" customFormat="1" ht="12.75" customHeight="1">
      <c r="A55" s="63" t="s">
        <v>110</v>
      </c>
      <c r="B55" s="38">
        <v>1</v>
      </c>
      <c r="C55" s="22"/>
      <c r="D55" s="34"/>
      <c r="E55" s="21">
        <v>0</v>
      </c>
      <c r="F55" s="21">
        <v>0</v>
      </c>
      <c r="G55" s="21">
        <v>0</v>
      </c>
      <c r="H55" s="21">
        <v>0</v>
      </c>
      <c r="I55" s="21">
        <v>0</v>
      </c>
      <c r="J55" s="21">
        <v>0</v>
      </c>
      <c r="K55" s="21">
        <v>0</v>
      </c>
      <c r="L55" s="21">
        <v>0</v>
      </c>
      <c r="M55" s="21">
        <v>0</v>
      </c>
      <c r="N55" s="21">
        <v>0</v>
      </c>
      <c r="O55" s="21">
        <v>0</v>
      </c>
      <c r="P55" s="21">
        <v>0</v>
      </c>
      <c r="Q55" s="21">
        <v>0</v>
      </c>
      <c r="R55" s="60">
        <v>0</v>
      </c>
      <c r="S55" s="62"/>
      <c r="T55" s="150"/>
      <c r="U55" s="229">
        <f t="shared" si="0"/>
        <v>52</v>
      </c>
      <c r="V55" s="131" t="s">
        <v>28</v>
      </c>
      <c r="W55" s="130" t="s">
        <v>178</v>
      </c>
    </row>
    <row r="56" spans="1:23" s="14" customFormat="1" ht="12.75" customHeight="1">
      <c r="A56" s="63" t="s">
        <v>111</v>
      </c>
      <c r="B56" s="38">
        <v>1</v>
      </c>
      <c r="C56" s="22"/>
      <c r="D56" s="34"/>
      <c r="E56" s="21">
        <v>0</v>
      </c>
      <c r="F56" s="21">
        <v>0</v>
      </c>
      <c r="G56" s="21">
        <v>0</v>
      </c>
      <c r="H56" s="21">
        <v>0</v>
      </c>
      <c r="I56" s="21">
        <v>0</v>
      </c>
      <c r="J56" s="21">
        <v>0</v>
      </c>
      <c r="K56" s="21">
        <v>0</v>
      </c>
      <c r="L56" s="21">
        <v>0</v>
      </c>
      <c r="M56" s="21">
        <v>0</v>
      </c>
      <c r="N56" s="21">
        <v>0</v>
      </c>
      <c r="O56" s="21">
        <v>0</v>
      </c>
      <c r="P56" s="21">
        <v>0</v>
      </c>
      <c r="Q56" s="21">
        <v>0</v>
      </c>
      <c r="R56" s="60">
        <v>0</v>
      </c>
      <c r="S56" s="62"/>
      <c r="T56" s="150"/>
      <c r="U56" s="229">
        <f t="shared" si="0"/>
        <v>53</v>
      </c>
      <c r="V56" s="131" t="s">
        <v>29</v>
      </c>
      <c r="W56" s="130" t="s">
        <v>148</v>
      </c>
    </row>
    <row r="57" spans="1:23" s="14" customFormat="1" ht="12.75" customHeight="1">
      <c r="A57" s="63" t="s">
        <v>28</v>
      </c>
      <c r="B57" s="38">
        <v>1</v>
      </c>
      <c r="C57" s="22"/>
      <c r="D57" s="34"/>
      <c r="E57" s="21">
        <v>-7.7999999999999999E-4</v>
      </c>
      <c r="F57" s="21">
        <v>-6.4999999999999997E-4</v>
      </c>
      <c r="G57" s="21">
        <v>-2.4000000000000001E-4</v>
      </c>
      <c r="H57" s="21">
        <v>-2.7E-4</v>
      </c>
      <c r="I57" s="21">
        <v>-2.5999999999999998E-4</v>
      </c>
      <c r="J57" s="21">
        <v>1.33E-3</v>
      </c>
      <c r="K57" s="21">
        <v>2.9999999999999997E-4</v>
      </c>
      <c r="L57" s="21">
        <v>3.1E-4</v>
      </c>
      <c r="M57" s="21">
        <v>-6.0000000000000002E-5</v>
      </c>
      <c r="N57" s="21">
        <v>1.3999999999999999E-4</v>
      </c>
      <c r="O57" s="21">
        <v>-2.7E-4</v>
      </c>
      <c r="P57" s="21">
        <v>3.2000000000000003E-4</v>
      </c>
      <c r="Q57" s="21">
        <v>3.4000000000000002E-4</v>
      </c>
      <c r="R57" s="60">
        <v>-7.5000000000000002E-4</v>
      </c>
      <c r="S57" s="62"/>
      <c r="T57" s="150"/>
      <c r="U57" s="229">
        <f t="shared" si="0"/>
        <v>54</v>
      </c>
      <c r="V57" s="131" t="s">
        <v>30</v>
      </c>
      <c r="W57" s="130" t="s">
        <v>147</v>
      </c>
    </row>
    <row r="58" spans="1:23" s="14" customFormat="1" ht="12.75" customHeight="1">
      <c r="A58" s="63" t="s">
        <v>29</v>
      </c>
      <c r="B58" s="38">
        <v>1</v>
      </c>
      <c r="C58" s="22"/>
      <c r="D58" s="34"/>
      <c r="E58" s="21">
        <v>0</v>
      </c>
      <c r="F58" s="21">
        <v>-1.7000000000000001E-4</v>
      </c>
      <c r="G58" s="21">
        <v>-2.0300000000000001E-3</v>
      </c>
      <c r="H58" s="21">
        <v>3.0000000000000001E-5</v>
      </c>
      <c r="I58" s="21">
        <v>-2.0000000000000002E-5</v>
      </c>
      <c r="J58" s="21">
        <v>1.4999999999999999E-4</v>
      </c>
      <c r="K58" s="21">
        <v>2.0000000000000002E-5</v>
      </c>
      <c r="L58" s="21">
        <v>8.0000000000000007E-5</v>
      </c>
      <c r="M58" s="21">
        <v>-1.0000000000000001E-5</v>
      </c>
      <c r="N58" s="21">
        <v>6.9999999999999994E-5</v>
      </c>
      <c r="O58" s="21">
        <v>-3.0000000000000001E-5</v>
      </c>
      <c r="P58" s="21">
        <v>8.0000000000000007E-5</v>
      </c>
      <c r="Q58" s="21">
        <v>-4.8000000000000001E-4</v>
      </c>
      <c r="R58" s="60">
        <v>1.0000000000000001E-5</v>
      </c>
      <c r="S58" s="62"/>
      <c r="T58" s="150"/>
      <c r="U58" s="229">
        <f t="shared" si="0"/>
        <v>55</v>
      </c>
      <c r="V58" s="131" t="s">
        <v>31</v>
      </c>
      <c r="W58" s="130" t="s">
        <v>152</v>
      </c>
    </row>
    <row r="59" spans="1:23" s="14" customFormat="1" ht="12.75" customHeight="1">
      <c r="A59" s="63" t="s">
        <v>30</v>
      </c>
      <c r="B59" s="38">
        <v>1</v>
      </c>
      <c r="C59" s="22"/>
      <c r="D59" s="34"/>
      <c r="E59" s="21">
        <v>2.1000000000000001E-4</v>
      </c>
      <c r="F59" s="21">
        <v>3.5E-4</v>
      </c>
      <c r="G59" s="21">
        <v>-2.0000000000000002E-5</v>
      </c>
      <c r="H59" s="21">
        <v>-1.7000000000000001E-4</v>
      </c>
      <c r="I59" s="21">
        <v>1.8000000000000001E-4</v>
      </c>
      <c r="J59" s="21">
        <v>-4.2000000000000002E-4</v>
      </c>
      <c r="K59" s="21">
        <v>1.6000000000000001E-4</v>
      </c>
      <c r="L59" s="21">
        <v>-1.7000000000000001E-4</v>
      </c>
      <c r="M59" s="21">
        <v>2.3000000000000001E-4</v>
      </c>
      <c r="N59" s="21">
        <v>-8.0000000000000007E-5</v>
      </c>
      <c r="O59" s="21">
        <v>-1.0000000000000001E-5</v>
      </c>
      <c r="P59" s="21">
        <v>-1.8000000000000001E-4</v>
      </c>
      <c r="Q59" s="21">
        <v>-2.2000000000000001E-4</v>
      </c>
      <c r="R59" s="60">
        <v>4.2000000000000002E-4</v>
      </c>
      <c r="S59" s="62"/>
      <c r="T59" s="150"/>
      <c r="U59" s="124">
        <f t="shared" si="0"/>
        <v>56</v>
      </c>
      <c r="V59" s="128" t="s">
        <v>32</v>
      </c>
      <c r="W59" s="229"/>
    </row>
    <row r="60" spans="1:23" s="14" customFormat="1" ht="12.75" customHeight="1">
      <c r="A60" s="63" t="s">
        <v>31</v>
      </c>
      <c r="B60" s="38">
        <v>1</v>
      </c>
      <c r="C60" s="22"/>
      <c r="D60" s="34"/>
      <c r="E60" s="21">
        <v>6.9999999999999994E-5</v>
      </c>
      <c r="F60" s="21">
        <v>3.0000000000000001E-5</v>
      </c>
      <c r="G60" s="21">
        <v>2.0000000000000002E-5</v>
      </c>
      <c r="H60" s="21">
        <v>1.0000000000000001E-5</v>
      </c>
      <c r="I60" s="21">
        <v>-2.3800000000000002E-3</v>
      </c>
      <c r="J60" s="21">
        <v>5.0000000000000002E-5</v>
      </c>
      <c r="K60" s="21">
        <v>2.0000000000000002E-5</v>
      </c>
      <c r="L60" s="21">
        <v>-1.0000000000000001E-5</v>
      </c>
      <c r="M60" s="21">
        <v>-1.2E-4</v>
      </c>
      <c r="N60" s="21">
        <v>3.0000000000000001E-5</v>
      </c>
      <c r="O60" s="21">
        <v>2.0000000000000002E-5</v>
      </c>
      <c r="P60" s="21">
        <v>5.0000000000000002E-5</v>
      </c>
      <c r="Q60" s="21">
        <v>5.0000000000000002E-5</v>
      </c>
      <c r="R60" s="60">
        <v>3.0000000000000001E-5</v>
      </c>
      <c r="S60" s="62"/>
      <c r="T60" s="150"/>
      <c r="U60" s="124">
        <f t="shared" si="0"/>
        <v>57</v>
      </c>
      <c r="V60" s="131" t="s">
        <v>33</v>
      </c>
      <c r="W60" s="130" t="s">
        <v>172</v>
      </c>
    </row>
    <row r="61" spans="1:23" s="14" customFormat="1" ht="12.75" customHeight="1">
      <c r="A61" s="230" t="s">
        <v>32</v>
      </c>
      <c r="B61" s="38">
        <v>1</v>
      </c>
      <c r="C61" s="22"/>
      <c r="D61" s="34"/>
      <c r="E61" s="21">
        <v>9.4199999999999996E-3</v>
      </c>
      <c r="F61" s="21">
        <v>1.5559999999999999E-2</v>
      </c>
      <c r="G61" s="21">
        <v>-9.8999999999999999E-4</v>
      </c>
      <c r="H61" s="21">
        <v>5.3200000000000001E-3</v>
      </c>
      <c r="I61" s="21">
        <v>7.8700000000000003E-3</v>
      </c>
      <c r="J61" s="21">
        <v>-1.7309999999999999E-2</v>
      </c>
      <c r="K61" s="21">
        <v>7.6400000000000001E-3</v>
      </c>
      <c r="L61" s="21">
        <v>-7.2899999999999996E-3</v>
      </c>
      <c r="M61" s="21">
        <v>1.056E-2</v>
      </c>
      <c r="N61" s="21">
        <v>-3.2699999999999999E-3</v>
      </c>
      <c r="O61" s="21">
        <v>-2.7999999999999998E-4</v>
      </c>
      <c r="P61" s="21">
        <v>-7.4400000000000004E-3</v>
      </c>
      <c r="Q61" s="21">
        <v>-9.2200000000000008E-3</v>
      </c>
      <c r="R61" s="60">
        <v>1.83E-2</v>
      </c>
      <c r="S61" s="62"/>
      <c r="T61" s="150">
        <v>1</v>
      </c>
      <c r="U61" s="129">
        <f t="shared" si="0"/>
        <v>58</v>
      </c>
      <c r="V61" s="126" t="s">
        <v>34</v>
      </c>
      <c r="W61" s="130" t="s">
        <v>165</v>
      </c>
    </row>
    <row r="62" spans="1:23" s="14" customFormat="1" ht="12.75" customHeight="1">
      <c r="A62" s="63" t="s">
        <v>33</v>
      </c>
      <c r="B62" s="38">
        <v>1</v>
      </c>
      <c r="C62" s="22"/>
      <c r="D62" s="34"/>
      <c r="E62" s="21">
        <v>7.3099999999999997E-3</v>
      </c>
      <c r="F62" s="21">
        <v>5.2100000000000002E-3</v>
      </c>
      <c r="G62" s="21">
        <v>1.6000000000000001E-4</v>
      </c>
      <c r="H62" s="21">
        <v>5.8E-4</v>
      </c>
      <c r="I62" s="21">
        <v>1.6000000000000001E-3</v>
      </c>
      <c r="J62" s="21">
        <v>-2.5300000000000001E-3</v>
      </c>
      <c r="K62" s="21">
        <v>-5.2999999999999998E-4</v>
      </c>
      <c r="L62" s="21">
        <v>-2.4599999999999999E-3</v>
      </c>
      <c r="M62" s="21">
        <v>-6.0000000000000002E-5</v>
      </c>
      <c r="N62" s="21">
        <v>-5.2999999999999998E-4</v>
      </c>
      <c r="O62" s="21">
        <v>4.0000000000000003E-5</v>
      </c>
      <c r="P62" s="21">
        <v>-1.81E-3</v>
      </c>
      <c r="Q62" s="21">
        <v>-2.16E-3</v>
      </c>
      <c r="R62" s="60">
        <v>5.9800000000000001E-3</v>
      </c>
      <c r="S62" s="62"/>
      <c r="T62" s="150"/>
      <c r="U62" s="124">
        <f t="shared" si="0"/>
        <v>59</v>
      </c>
      <c r="V62" s="126" t="s">
        <v>35</v>
      </c>
      <c r="W62" s="130" t="s">
        <v>173</v>
      </c>
    </row>
    <row r="63" spans="1:23" s="14" customFormat="1" ht="12.75" customHeight="1">
      <c r="A63" s="63" t="s">
        <v>34</v>
      </c>
      <c r="B63" s="38">
        <v>1</v>
      </c>
      <c r="C63" s="22"/>
      <c r="D63" s="34"/>
      <c r="E63" s="21">
        <v>3.6130000000000002E-2</v>
      </c>
      <c r="F63" s="21">
        <v>2.8590000000000001E-2</v>
      </c>
      <c r="G63" s="21">
        <v>-2.2799999999999999E-3</v>
      </c>
      <c r="H63" s="21">
        <v>9.0900000000000009E-3</v>
      </c>
      <c r="I63" s="21">
        <v>1.1979999999999999E-2</v>
      </c>
      <c r="J63" s="21">
        <v>-6.4500000000000002E-2</v>
      </c>
      <c r="K63" s="21">
        <v>-1.6379999999999999E-2</v>
      </c>
      <c r="L63" s="21">
        <v>-1.3270000000000001E-2</v>
      </c>
      <c r="M63" s="21">
        <v>1.2600000000000001E-3</v>
      </c>
      <c r="N63" s="21">
        <v>-5.8399999999999997E-3</v>
      </c>
      <c r="O63" s="21">
        <v>4.2999999999999999E-4</v>
      </c>
      <c r="P63" s="21">
        <v>-1.4330000000000001E-2</v>
      </c>
      <c r="Q63" s="21">
        <v>-1.7180000000000001E-2</v>
      </c>
      <c r="R63" s="60">
        <v>3.3169999999999998E-2</v>
      </c>
      <c r="S63" s="62"/>
      <c r="T63" s="150"/>
      <c r="U63" s="124">
        <f t="shared" si="0"/>
        <v>60</v>
      </c>
      <c r="V63" s="126" t="s">
        <v>36</v>
      </c>
      <c r="W63" s="130" t="s">
        <v>153</v>
      </c>
    </row>
    <row r="64" spans="1:23" s="14" customFormat="1" ht="12.75" customHeight="1">
      <c r="A64" s="63" t="s">
        <v>35</v>
      </c>
      <c r="B64" s="38">
        <v>1</v>
      </c>
      <c r="C64" s="22"/>
      <c r="D64" s="34"/>
      <c r="E64" s="21">
        <v>7.9390000000000002E-2</v>
      </c>
      <c r="F64" s="21">
        <v>5.9819999999999998E-2</v>
      </c>
      <c r="G64" s="21">
        <v>-9.7000000000000005E-4</v>
      </c>
      <c r="H64" s="21">
        <v>6.3600000000000002E-3</v>
      </c>
      <c r="I64" s="21">
        <v>2.4580000000000001E-2</v>
      </c>
      <c r="J64" s="21">
        <v>-3.0329999999999999E-2</v>
      </c>
      <c r="K64" s="21">
        <v>-6.3499999999999997E-3</v>
      </c>
      <c r="L64" s="21">
        <v>-2.7140000000000001E-2</v>
      </c>
      <c r="M64" s="21">
        <v>8.3000000000000001E-4</v>
      </c>
      <c r="N64" s="21">
        <v>-6.2599999999999999E-3</v>
      </c>
      <c r="O64" s="21">
        <v>3.7599999999999999E-3</v>
      </c>
      <c r="P64" s="21">
        <v>-2.1270000000000001E-2</v>
      </c>
      <c r="Q64" s="21">
        <v>-2.443E-2</v>
      </c>
      <c r="R64" s="60">
        <v>6.8959999999999994E-2</v>
      </c>
      <c r="S64" s="62"/>
      <c r="T64" s="150"/>
      <c r="U64" s="124">
        <f t="shared" si="0"/>
        <v>61</v>
      </c>
      <c r="V64" s="125" t="s">
        <v>37</v>
      </c>
      <c r="W64" s="229"/>
    </row>
    <row r="65" spans="1:23" s="14" customFormat="1" ht="12.75" customHeight="1">
      <c r="A65" s="63" t="s">
        <v>36</v>
      </c>
      <c r="B65" s="38">
        <v>1</v>
      </c>
      <c r="C65" s="22"/>
      <c r="D65" s="34"/>
      <c r="E65" s="21">
        <v>-5.9000000000000003E-4</v>
      </c>
      <c r="F65" s="21">
        <v>1.3999999999999999E-4</v>
      </c>
      <c r="G65" s="21">
        <v>-3.8999999999999999E-4</v>
      </c>
      <c r="H65" s="21">
        <v>2.0000000000000002E-5</v>
      </c>
      <c r="I65" s="21">
        <v>6.0000000000000002E-5</v>
      </c>
      <c r="J65" s="21">
        <v>-8.8000000000000003E-4</v>
      </c>
      <c r="K65" s="21">
        <v>1.0000000000000001E-5</v>
      </c>
      <c r="L65" s="21">
        <v>-7.5000000000000002E-4</v>
      </c>
      <c r="M65" s="21">
        <v>6.0000000000000002E-5</v>
      </c>
      <c r="N65" s="21">
        <v>1.7600000000000001E-3</v>
      </c>
      <c r="O65" s="21">
        <v>-1.07E-3</v>
      </c>
      <c r="P65" s="21">
        <v>-7.6999999999999996E-4</v>
      </c>
      <c r="Q65" s="21">
        <v>-7.7999999999999999E-4</v>
      </c>
      <c r="R65" s="60">
        <v>7.2999999999999996E-4</v>
      </c>
      <c r="S65" s="62"/>
      <c r="T65" s="150"/>
      <c r="U65" s="124">
        <f t="shared" si="0"/>
        <v>62</v>
      </c>
      <c r="V65" s="125" t="s">
        <v>38</v>
      </c>
      <c r="W65" s="229"/>
    </row>
    <row r="66" spans="1:23" s="14" customFormat="1" ht="12.75" customHeight="1">
      <c r="A66" s="230" t="s">
        <v>37</v>
      </c>
      <c r="B66" s="38">
        <v>1</v>
      </c>
      <c r="C66" s="22"/>
      <c r="D66" s="34"/>
      <c r="E66" s="21">
        <v>5.4309999999999997E-2</v>
      </c>
      <c r="F66" s="21">
        <v>4.2099999999999999E-2</v>
      </c>
      <c r="G66" s="21">
        <v>7.4900000000000001E-3</v>
      </c>
      <c r="H66" s="21">
        <v>-3.1800000000000001E-3</v>
      </c>
      <c r="I66" s="21">
        <v>1.584E-2</v>
      </c>
      <c r="J66" s="21">
        <v>-3.5200000000000001E-3</v>
      </c>
      <c r="K66" s="21">
        <v>4.3299999999999996E-3</v>
      </c>
      <c r="L66" s="21">
        <v>-1.9349999999999999E-2</v>
      </c>
      <c r="M66" s="21">
        <v>3.9699999999999996E-3</v>
      </c>
      <c r="N66" s="21">
        <v>9.9799999999999993E-3</v>
      </c>
      <c r="O66" s="21">
        <v>8.0700000000000008E-3</v>
      </c>
      <c r="P66" s="21">
        <v>-1.7420000000000001E-2</v>
      </c>
      <c r="Q66" s="21">
        <v>1.2899999999999999E-3</v>
      </c>
      <c r="R66" s="60">
        <v>4.7239999999999997E-2</v>
      </c>
      <c r="S66" s="62"/>
      <c r="T66" s="150">
        <v>1</v>
      </c>
      <c r="U66" s="129">
        <f t="shared" si="0"/>
        <v>63</v>
      </c>
      <c r="V66" s="126" t="s">
        <v>39</v>
      </c>
      <c r="W66" s="130" t="s">
        <v>198</v>
      </c>
    </row>
    <row r="67" spans="1:23" s="14" customFormat="1" ht="12.75" customHeight="1">
      <c r="A67" s="230" t="s">
        <v>38</v>
      </c>
      <c r="B67" s="38">
        <v>1</v>
      </c>
      <c r="C67" s="22"/>
      <c r="D67" s="34"/>
      <c r="E67" s="21">
        <v>9.6000000000000002E-4</v>
      </c>
      <c r="F67" s="21">
        <v>1.64E-3</v>
      </c>
      <c r="G67" s="21">
        <v>-1.2999999999999999E-4</v>
      </c>
      <c r="H67" s="21">
        <v>2.7299999999999998E-3</v>
      </c>
      <c r="I67" s="21">
        <v>8.3000000000000001E-4</v>
      </c>
      <c r="J67" s="21">
        <v>-1.57E-3</v>
      </c>
      <c r="K67" s="21">
        <v>1.07E-3</v>
      </c>
      <c r="L67" s="21">
        <v>-7.7999999999999999E-4</v>
      </c>
      <c r="M67" s="21">
        <v>1.2600000000000001E-3</v>
      </c>
      <c r="N67" s="21">
        <v>-4.0000000000000002E-4</v>
      </c>
      <c r="O67" s="21">
        <v>-5.0000000000000002E-5</v>
      </c>
      <c r="P67" s="21">
        <v>-6.8000000000000005E-4</v>
      </c>
      <c r="Q67" s="21">
        <v>-1.0499999999999999E-3</v>
      </c>
      <c r="R67" s="60">
        <v>1.9499999999999999E-3</v>
      </c>
      <c r="S67" s="62"/>
      <c r="T67" s="150">
        <v>1</v>
      </c>
      <c r="U67" s="129">
        <f t="shared" si="0"/>
        <v>64</v>
      </c>
      <c r="V67" s="126" t="s">
        <v>40</v>
      </c>
      <c r="W67" s="130" t="s">
        <v>198</v>
      </c>
    </row>
    <row r="68" spans="1:23" s="14" customFormat="1" ht="12.75" customHeight="1">
      <c r="A68" s="63" t="s">
        <v>39</v>
      </c>
      <c r="B68" s="38">
        <v>1</v>
      </c>
      <c r="C68" s="22"/>
      <c r="D68" s="34"/>
      <c r="E68" s="21">
        <v>1.201E-2</v>
      </c>
      <c r="F68" s="21">
        <v>3.9100000000000003E-3</v>
      </c>
      <c r="G68" s="21">
        <v>3.46E-3</v>
      </c>
      <c r="H68" s="21">
        <v>1.5E-3</v>
      </c>
      <c r="I68" s="21">
        <v>1.8600000000000001E-3</v>
      </c>
      <c r="J68" s="21">
        <v>5.9300000000000004E-3</v>
      </c>
      <c r="K68" s="21">
        <v>2.1099999999999999E-3</v>
      </c>
      <c r="L68" s="21">
        <v>8.0800000000000004E-3</v>
      </c>
      <c r="M68" s="21">
        <v>2.6800000000000001E-3</v>
      </c>
      <c r="N68" s="21">
        <v>5.3299999999999997E-3</v>
      </c>
      <c r="O68" s="21">
        <v>3.2299999999999998E-3</v>
      </c>
      <c r="P68" s="21">
        <v>8.0800000000000004E-3</v>
      </c>
      <c r="Q68" s="21">
        <v>8.3899999999999999E-3</v>
      </c>
      <c r="R68" s="60">
        <v>3.46E-3</v>
      </c>
      <c r="S68" s="62"/>
      <c r="T68" s="150"/>
      <c r="U68" s="124">
        <f t="shared" si="0"/>
        <v>65</v>
      </c>
      <c r="V68" s="126" t="s">
        <v>41</v>
      </c>
      <c r="W68" s="130" t="s">
        <v>199</v>
      </c>
    </row>
    <row r="69" spans="1:23" s="14" customFormat="1" ht="12.75" customHeight="1">
      <c r="A69" s="63" t="s">
        <v>40</v>
      </c>
      <c r="B69" s="38">
        <v>1</v>
      </c>
      <c r="C69" s="22"/>
      <c r="D69" s="34"/>
      <c r="E69" s="21">
        <v>1.52E-2</v>
      </c>
      <c r="F69" s="21">
        <v>4.9500000000000004E-3</v>
      </c>
      <c r="G69" s="21">
        <v>4.3800000000000002E-3</v>
      </c>
      <c r="H69" s="21">
        <v>1.9E-3</v>
      </c>
      <c r="I69" s="21">
        <v>2.3500000000000001E-3</v>
      </c>
      <c r="J69" s="21">
        <v>7.5100000000000002E-3</v>
      </c>
      <c r="K69" s="21">
        <v>2.6700000000000001E-3</v>
      </c>
      <c r="L69" s="21">
        <v>1.023E-2</v>
      </c>
      <c r="M69" s="21">
        <v>3.3800000000000002E-3</v>
      </c>
      <c r="N69" s="21">
        <v>6.7499999999999999E-3</v>
      </c>
      <c r="O69" s="21">
        <v>4.0800000000000003E-3</v>
      </c>
      <c r="P69" s="21">
        <v>1.023E-2</v>
      </c>
      <c r="Q69" s="21">
        <v>1.061E-2</v>
      </c>
      <c r="R69" s="60">
        <v>4.3699999999999998E-3</v>
      </c>
      <c r="S69" s="62"/>
      <c r="T69" s="150"/>
      <c r="U69" s="124">
        <f t="shared" si="0"/>
        <v>66</v>
      </c>
      <c r="V69" s="125" t="s">
        <v>42</v>
      </c>
      <c r="W69" s="229"/>
    </row>
    <row r="70" spans="1:23" s="14" customFormat="1" ht="12.75" customHeight="1">
      <c r="A70" s="63" t="s">
        <v>41</v>
      </c>
      <c r="B70" s="38">
        <v>1</v>
      </c>
      <c r="C70" s="22"/>
      <c r="D70" s="34"/>
      <c r="E70" s="21">
        <v>7.0800000000000004E-3</v>
      </c>
      <c r="F70" s="21">
        <v>9.58E-3</v>
      </c>
      <c r="G70" s="21">
        <v>4.9800000000000001E-3</v>
      </c>
      <c r="H70" s="21">
        <v>5.1500000000000001E-3</v>
      </c>
      <c r="I70" s="21">
        <v>4.8700000000000002E-3</v>
      </c>
      <c r="J70" s="21">
        <v>-2.2000000000000001E-4</v>
      </c>
      <c r="K70" s="21">
        <v>9.7099999999999999E-3</v>
      </c>
      <c r="L70" s="21">
        <v>2.3000000000000001E-4</v>
      </c>
      <c r="M70" s="21">
        <v>9.1999999999999998E-3</v>
      </c>
      <c r="N70" s="21">
        <v>6.8000000000000005E-4</v>
      </c>
      <c r="O70" s="21">
        <v>1.9000000000000001E-4</v>
      </c>
      <c r="P70" s="21">
        <v>3.8000000000000002E-4</v>
      </c>
      <c r="Q70" s="21">
        <v>4.6000000000000001E-4</v>
      </c>
      <c r="R70" s="60">
        <v>1.038E-2</v>
      </c>
      <c r="S70" s="62"/>
      <c r="T70" s="150"/>
      <c r="U70" s="124">
        <f t="shared" ref="U70:U93" si="1">U69+1</f>
        <v>67</v>
      </c>
      <c r="V70" s="126" t="s">
        <v>43</v>
      </c>
      <c r="W70" s="130" t="s">
        <v>179</v>
      </c>
    </row>
    <row r="71" spans="1:23" s="14" customFormat="1" ht="12.75" customHeight="1">
      <c r="A71" s="230" t="s">
        <v>42</v>
      </c>
      <c r="B71" s="38">
        <v>1</v>
      </c>
      <c r="C71" s="22"/>
      <c r="D71" s="34"/>
      <c r="E71" s="21">
        <v>9.6100000000000005E-3</v>
      </c>
      <c r="F71" s="21">
        <v>-4.2999999999999999E-4</v>
      </c>
      <c r="G71" s="21">
        <v>3.1E-4</v>
      </c>
      <c r="H71" s="21">
        <v>-5.0000000000000002E-5</v>
      </c>
      <c r="I71" s="21">
        <v>-1.4999999999999999E-4</v>
      </c>
      <c r="J71" s="21">
        <v>1.0279999999999999E-2</v>
      </c>
      <c r="K71" s="21">
        <v>-1.3999999999999999E-4</v>
      </c>
      <c r="L71" s="21">
        <v>1.01E-2</v>
      </c>
      <c r="M71" s="21">
        <v>-1.9000000000000001E-4</v>
      </c>
      <c r="N71" s="21">
        <v>7.4099999999999999E-3</v>
      </c>
      <c r="O71" s="21">
        <v>1.0359999999999999E-2</v>
      </c>
      <c r="P71" s="21">
        <v>1.01E-2</v>
      </c>
      <c r="Q71" s="21">
        <v>1.008E-2</v>
      </c>
      <c r="R71" s="60">
        <v>-1.09E-3</v>
      </c>
      <c r="S71" s="62"/>
      <c r="T71" s="150">
        <v>1</v>
      </c>
      <c r="U71" s="129">
        <f t="shared" si="1"/>
        <v>68</v>
      </c>
      <c r="V71" s="126" t="s">
        <v>44</v>
      </c>
      <c r="W71" s="130" t="s">
        <v>181</v>
      </c>
    </row>
    <row r="72" spans="1:23" s="14" customFormat="1" ht="12.75" customHeight="1">
      <c r="A72" s="230" t="s">
        <v>46</v>
      </c>
      <c r="B72" s="38">
        <v>1</v>
      </c>
      <c r="C72" s="22"/>
      <c r="D72" s="34"/>
      <c r="E72" s="21">
        <v>-5.1900000000000002E-3</v>
      </c>
      <c r="F72" s="21">
        <v>-1.1939999999999999E-2</v>
      </c>
      <c r="G72" s="21">
        <v>7.9000000000000001E-4</v>
      </c>
      <c r="H72" s="21">
        <v>1.6800000000000001E-3</v>
      </c>
      <c r="I72" s="21">
        <v>9.2700000000000005E-3</v>
      </c>
      <c r="J72" s="21">
        <v>-1.213E-2</v>
      </c>
      <c r="K72" s="21">
        <v>-2.8600000000000001E-3</v>
      </c>
      <c r="L72" s="21">
        <v>5.6899999999999997E-3</v>
      </c>
      <c r="M72" s="21">
        <v>4.1000000000000003E-3</v>
      </c>
      <c r="N72" s="21">
        <v>-4.4000000000000002E-4</v>
      </c>
      <c r="O72" s="21">
        <v>-4.2100000000000002E-3</v>
      </c>
      <c r="P72" s="21">
        <v>3.5100000000000001E-3</v>
      </c>
      <c r="Q72" s="21">
        <v>2.7100000000000002E-3</v>
      </c>
      <c r="R72" s="60">
        <v>-1.3639999999999999E-2</v>
      </c>
      <c r="S72" s="62"/>
      <c r="T72" s="150">
        <v>1</v>
      </c>
      <c r="U72" s="129">
        <f t="shared" si="1"/>
        <v>69</v>
      </c>
      <c r="V72" s="126" t="s">
        <v>45</v>
      </c>
      <c r="W72" s="130" t="s">
        <v>180</v>
      </c>
    </row>
    <row r="73" spans="1:23" s="14" customFormat="1" ht="12.75" customHeight="1">
      <c r="A73" s="230" t="s">
        <v>47</v>
      </c>
      <c r="B73" s="38">
        <v>1</v>
      </c>
      <c r="C73" s="22"/>
      <c r="D73" s="34"/>
      <c r="E73" s="21">
        <v>-6.62E-3</v>
      </c>
      <c r="F73" s="21">
        <v>-9.1699999999999993E-3</v>
      </c>
      <c r="G73" s="21">
        <v>1.7700000000000001E-3</v>
      </c>
      <c r="H73" s="21">
        <v>1.99E-3</v>
      </c>
      <c r="I73" s="21">
        <v>-3.0000000000000001E-3</v>
      </c>
      <c r="J73" s="21">
        <v>1.7930000000000001E-2</v>
      </c>
      <c r="K73" s="21">
        <v>5.4999999999999997E-3</v>
      </c>
      <c r="L73" s="21">
        <v>4.3600000000000002E-3</v>
      </c>
      <c r="M73" s="21">
        <v>5.5999999999999995E-4</v>
      </c>
      <c r="N73" s="21">
        <v>8.8999999999999995E-4</v>
      </c>
      <c r="O73" s="21">
        <v>-3.2100000000000002E-3</v>
      </c>
      <c r="P73" s="21">
        <v>6.4099999999999999E-3</v>
      </c>
      <c r="Q73" s="21">
        <v>4.4200000000000003E-3</v>
      </c>
      <c r="R73" s="60">
        <v>-1.069E-2</v>
      </c>
      <c r="S73" s="62"/>
      <c r="T73" s="150">
        <v>1</v>
      </c>
      <c r="U73" s="129">
        <f t="shared" si="1"/>
        <v>70</v>
      </c>
      <c r="V73" s="126" t="s">
        <v>46</v>
      </c>
      <c r="W73" s="130"/>
    </row>
    <row r="74" spans="1:23" s="14" customFormat="1" ht="12.75" customHeight="1" thickBot="1">
      <c r="A74" s="230" t="s">
        <v>48</v>
      </c>
      <c r="B74" s="38">
        <v>1</v>
      </c>
      <c r="C74" s="22"/>
      <c r="D74" s="34"/>
      <c r="E74" s="21">
        <v>1.6800000000000001E-3</v>
      </c>
      <c r="F74" s="21">
        <v>-4.2399999999999998E-3</v>
      </c>
      <c r="G74" s="21">
        <v>1.1999999999999999E-3</v>
      </c>
      <c r="H74" s="21">
        <v>4.8999999999999998E-4</v>
      </c>
      <c r="I74" s="21">
        <v>2.2000000000000001E-4</v>
      </c>
      <c r="J74" s="21">
        <v>2.5400000000000002E-3</v>
      </c>
      <c r="K74" s="21">
        <v>8.5999999999999998E-4</v>
      </c>
      <c r="L74" s="21">
        <v>2.0100000000000001E-3</v>
      </c>
      <c r="M74" s="21">
        <v>6.3000000000000003E-4</v>
      </c>
      <c r="N74" s="21">
        <v>-6.8000000000000005E-4</v>
      </c>
      <c r="O74" s="21">
        <v>-3.5500000000000002E-3</v>
      </c>
      <c r="P74" s="21">
        <v>2.0200000000000001E-3</v>
      </c>
      <c r="Q74" s="21">
        <v>6.6E-4</v>
      </c>
      <c r="R74" s="60">
        <v>-4.8399999999999997E-3</v>
      </c>
      <c r="S74" s="62"/>
      <c r="T74" s="150">
        <v>1</v>
      </c>
      <c r="U74" s="129">
        <f t="shared" si="1"/>
        <v>71</v>
      </c>
      <c r="V74" s="126" t="s">
        <v>47</v>
      </c>
      <c r="W74" s="130"/>
    </row>
    <row r="75" spans="1:23" s="14" customFormat="1" ht="12.75" customHeight="1">
      <c r="A75" s="233" t="s">
        <v>91</v>
      </c>
      <c r="B75" s="51">
        <v>1</v>
      </c>
      <c r="C75" s="44"/>
      <c r="D75" s="52"/>
      <c r="E75" s="66">
        <v>-1.2007E-2</v>
      </c>
      <c r="F75" s="66">
        <v>-3.9129999999999998E-3</v>
      </c>
      <c r="G75" s="66">
        <v>-3.4640000000000001E-3</v>
      </c>
      <c r="H75" s="66">
        <v>-1.5020000000000001E-3</v>
      </c>
      <c r="I75" s="66">
        <v>-1.861E-3</v>
      </c>
      <c r="J75" s="66">
        <v>-5.9319999999999998E-3</v>
      </c>
      <c r="K75" s="66">
        <v>-2.1080000000000001E-3</v>
      </c>
      <c r="L75" s="66">
        <v>-8.0789999999999994E-3</v>
      </c>
      <c r="M75" s="66">
        <v>-2.6749999999999999E-3</v>
      </c>
      <c r="N75" s="66">
        <v>-5.3309999999999998E-3</v>
      </c>
      <c r="O75" s="66">
        <v>-3.2290000000000001E-3</v>
      </c>
      <c r="P75" s="66">
        <v>-8.0829999999999999E-3</v>
      </c>
      <c r="Q75" s="66">
        <v>-8.3859999999999994E-3</v>
      </c>
      <c r="R75" s="67">
        <v>-3.4589999999999998E-3</v>
      </c>
      <c r="S75" s="62"/>
      <c r="T75" s="150">
        <v>1</v>
      </c>
      <c r="U75" s="129">
        <f t="shared" si="1"/>
        <v>72</v>
      </c>
      <c r="V75" s="126" t="s">
        <v>48</v>
      </c>
      <c r="W75" s="130"/>
    </row>
    <row r="76" spans="1:23" s="14" customFormat="1" ht="12.75" customHeight="1">
      <c r="A76" s="63" t="s">
        <v>92</v>
      </c>
      <c r="B76" s="38">
        <v>1</v>
      </c>
      <c r="C76" s="22"/>
      <c r="D76" s="34"/>
      <c r="E76" s="21">
        <v>-7.0800000000000004E-3</v>
      </c>
      <c r="F76" s="21">
        <v>-9.58E-3</v>
      </c>
      <c r="G76" s="21">
        <v>-4.9800000000000001E-3</v>
      </c>
      <c r="H76" s="21">
        <v>-5.1500000000000001E-3</v>
      </c>
      <c r="I76" s="21">
        <v>-4.8700000000000002E-3</v>
      </c>
      <c r="J76" s="21">
        <v>2.2000000000000001E-4</v>
      </c>
      <c r="K76" s="21">
        <v>-9.7099999999999999E-3</v>
      </c>
      <c r="L76" s="21">
        <v>-2.3000000000000001E-4</v>
      </c>
      <c r="M76" s="21">
        <v>-9.1999999999999998E-3</v>
      </c>
      <c r="N76" s="21">
        <v>-6.8000000000000005E-4</v>
      </c>
      <c r="O76" s="21">
        <v>-1.9000000000000001E-4</v>
      </c>
      <c r="P76" s="21">
        <v>-3.8000000000000002E-4</v>
      </c>
      <c r="Q76" s="21">
        <v>-4.6000000000000001E-4</v>
      </c>
      <c r="R76" s="60">
        <v>-1.038E-2</v>
      </c>
      <c r="S76" s="62"/>
      <c r="T76" s="150"/>
      <c r="U76" s="124">
        <f t="shared" si="1"/>
        <v>73</v>
      </c>
      <c r="V76" s="128" t="s">
        <v>46</v>
      </c>
      <c r="W76" s="229"/>
    </row>
    <row r="77" spans="1:23" s="14" customFormat="1" ht="12.75" customHeight="1">
      <c r="A77" s="230" t="s">
        <v>93</v>
      </c>
      <c r="B77" s="38">
        <v>1</v>
      </c>
      <c r="C77" s="22"/>
      <c r="D77" s="34"/>
      <c r="E77" s="21">
        <v>-1.08E-3</v>
      </c>
      <c r="F77" s="21">
        <v>-7.6299999999999996E-3</v>
      </c>
      <c r="G77" s="21">
        <v>-3.2399999999999998E-3</v>
      </c>
      <c r="H77" s="21">
        <v>-4.4000000000000003E-3</v>
      </c>
      <c r="I77" s="21">
        <v>-3.9399999999999999E-3</v>
      </c>
      <c r="J77" s="21">
        <v>3.1900000000000001E-3</v>
      </c>
      <c r="K77" s="21">
        <v>-8.6599999999999993E-3</v>
      </c>
      <c r="L77" s="21">
        <v>3.81E-3</v>
      </c>
      <c r="M77" s="21">
        <v>-7.8600000000000007E-3</v>
      </c>
      <c r="N77" s="21">
        <v>1.99E-3</v>
      </c>
      <c r="O77" s="21">
        <v>1.4300000000000001E-3</v>
      </c>
      <c r="P77" s="21">
        <v>3.6600000000000001E-3</v>
      </c>
      <c r="Q77" s="21">
        <v>3.7399999999999998E-3</v>
      </c>
      <c r="R77" s="60">
        <v>-8.6499999999999997E-3</v>
      </c>
      <c r="S77" s="62"/>
      <c r="T77" s="150">
        <v>1</v>
      </c>
      <c r="U77" s="129">
        <f t="shared" si="1"/>
        <v>74</v>
      </c>
      <c r="V77" s="128" t="s">
        <v>47</v>
      </c>
      <c r="W77" s="229"/>
    </row>
    <row r="78" spans="1:23" s="14" customFormat="1" ht="12.75" customHeight="1">
      <c r="A78" s="230" t="s">
        <v>89</v>
      </c>
      <c r="B78" s="38">
        <v>1</v>
      </c>
      <c r="C78" s="22"/>
      <c r="D78" s="34"/>
      <c r="E78" s="21">
        <v>-6.0000000000000001E-3</v>
      </c>
      <c r="F78" s="21">
        <v>8.0400000000000003E-3</v>
      </c>
      <c r="G78" s="21">
        <v>-1.73E-3</v>
      </c>
      <c r="H78" s="21">
        <v>-7.5000000000000002E-4</v>
      </c>
      <c r="I78" s="21">
        <v>-9.3000000000000005E-4</v>
      </c>
      <c r="J78" s="21">
        <v>-2.97E-3</v>
      </c>
      <c r="K78" s="21">
        <v>-1.0499999999999999E-3</v>
      </c>
      <c r="L78" s="21">
        <v>-4.0400000000000002E-3</v>
      </c>
      <c r="M78" s="21">
        <v>-1.34E-3</v>
      </c>
      <c r="N78" s="21">
        <v>-2.6700000000000001E-3</v>
      </c>
      <c r="O78" s="21">
        <v>-1.6100000000000001E-3</v>
      </c>
      <c r="P78" s="21">
        <v>-4.0400000000000002E-3</v>
      </c>
      <c r="Q78" s="21">
        <v>-4.1900000000000001E-3</v>
      </c>
      <c r="R78" s="60">
        <v>-1.73E-3</v>
      </c>
      <c r="S78" s="62"/>
      <c r="T78" s="150">
        <v>1</v>
      </c>
      <c r="U78" s="129">
        <f t="shared" si="1"/>
        <v>75</v>
      </c>
      <c r="V78" s="128" t="s">
        <v>48</v>
      </c>
      <c r="W78" s="229"/>
    </row>
    <row r="79" spans="1:23" s="14" customFormat="1" ht="12.75" customHeight="1">
      <c r="A79" s="230" t="s">
        <v>94</v>
      </c>
      <c r="B79" s="38">
        <v>1</v>
      </c>
      <c r="C79" s="22"/>
      <c r="D79" s="34"/>
      <c r="E79" s="21">
        <v>-1.201E-2</v>
      </c>
      <c r="F79" s="21">
        <v>-3.9100000000000003E-3</v>
      </c>
      <c r="G79" s="21">
        <v>-3.46E-3</v>
      </c>
      <c r="H79" s="21">
        <v>-1.5E-3</v>
      </c>
      <c r="I79" s="21">
        <v>-1.8600000000000001E-3</v>
      </c>
      <c r="J79" s="21">
        <v>-5.9300000000000004E-3</v>
      </c>
      <c r="K79" s="21">
        <v>-2.1099999999999999E-3</v>
      </c>
      <c r="L79" s="21">
        <v>1.92E-3</v>
      </c>
      <c r="M79" s="21">
        <v>-2.6800000000000001E-3</v>
      </c>
      <c r="N79" s="21">
        <v>-5.3299999999999997E-3</v>
      </c>
      <c r="O79" s="21">
        <v>-3.2299999999999998E-3</v>
      </c>
      <c r="P79" s="21">
        <v>-8.0800000000000004E-3</v>
      </c>
      <c r="Q79" s="21">
        <v>-8.3899999999999999E-3</v>
      </c>
      <c r="R79" s="60">
        <v>-3.46E-3</v>
      </c>
      <c r="S79" s="62"/>
      <c r="T79" s="150">
        <v>1</v>
      </c>
      <c r="U79" s="129">
        <f t="shared" si="1"/>
        <v>76</v>
      </c>
      <c r="V79" s="128" t="s">
        <v>134</v>
      </c>
      <c r="W79" s="130" t="s">
        <v>135</v>
      </c>
    </row>
    <row r="80" spans="1:23" s="14" customFormat="1" ht="12.75" customHeight="1">
      <c r="A80" s="63" t="s">
        <v>95</v>
      </c>
      <c r="B80" s="38">
        <v>1</v>
      </c>
      <c r="C80" s="22"/>
      <c r="D80" s="34"/>
      <c r="E80" s="21">
        <v>1.201E-2</v>
      </c>
      <c r="F80" s="21">
        <v>3.9100000000000003E-3</v>
      </c>
      <c r="G80" s="21">
        <v>3.46E-3</v>
      </c>
      <c r="H80" s="21">
        <v>1.5E-3</v>
      </c>
      <c r="I80" s="21">
        <v>1.8600000000000001E-3</v>
      </c>
      <c r="J80" s="21">
        <v>5.9300000000000004E-3</v>
      </c>
      <c r="K80" s="21">
        <v>2.1099999999999999E-3</v>
      </c>
      <c r="L80" s="21">
        <v>8.0800000000000004E-3</v>
      </c>
      <c r="M80" s="21">
        <v>2.6800000000000001E-3</v>
      </c>
      <c r="N80" s="21">
        <v>5.3299999999999997E-3</v>
      </c>
      <c r="O80" s="21">
        <v>3.2299999999999998E-3</v>
      </c>
      <c r="P80" s="21">
        <v>8.0800000000000004E-3</v>
      </c>
      <c r="Q80" s="21">
        <v>8.3899999999999999E-3</v>
      </c>
      <c r="R80" s="60">
        <v>3.46E-3</v>
      </c>
      <c r="S80" s="62"/>
      <c r="T80" s="150"/>
      <c r="U80" s="124">
        <f t="shared" si="1"/>
        <v>77</v>
      </c>
      <c r="V80" s="131" t="s">
        <v>92</v>
      </c>
      <c r="W80" s="130" t="s">
        <v>146</v>
      </c>
    </row>
    <row r="81" spans="1:23" s="14" customFormat="1" ht="12.75" customHeight="1">
      <c r="A81" s="230" t="s">
        <v>49</v>
      </c>
      <c r="B81" s="38">
        <v>1</v>
      </c>
      <c r="C81" s="22"/>
      <c r="D81" s="34"/>
      <c r="E81" s="21">
        <v>0.01</v>
      </c>
      <c r="F81" s="21">
        <v>0</v>
      </c>
      <c r="G81" s="21">
        <v>0</v>
      </c>
      <c r="H81" s="21">
        <v>0</v>
      </c>
      <c r="I81" s="21">
        <v>0</v>
      </c>
      <c r="J81" s="21">
        <v>0</v>
      </c>
      <c r="K81" s="21">
        <v>0</v>
      </c>
      <c r="L81" s="21">
        <v>0</v>
      </c>
      <c r="M81" s="21">
        <v>0</v>
      </c>
      <c r="N81" s="21">
        <v>0</v>
      </c>
      <c r="O81" s="21">
        <v>0</v>
      </c>
      <c r="P81" s="21">
        <v>0</v>
      </c>
      <c r="Q81" s="21">
        <v>0</v>
      </c>
      <c r="R81" s="60">
        <v>0</v>
      </c>
      <c r="S81" s="18"/>
      <c r="T81" s="150">
        <v>1</v>
      </c>
      <c r="U81" s="129">
        <f t="shared" si="1"/>
        <v>78</v>
      </c>
      <c r="V81" s="128" t="s">
        <v>93</v>
      </c>
      <c r="W81" s="124"/>
    </row>
    <row r="82" spans="1:23" s="14" customFormat="1" ht="12.75" customHeight="1">
      <c r="A82" s="230" t="s">
        <v>50</v>
      </c>
      <c r="B82" s="38">
        <v>1</v>
      </c>
      <c r="C82" s="22"/>
      <c r="D82" s="34"/>
      <c r="E82" s="21">
        <v>0</v>
      </c>
      <c r="F82" s="21">
        <v>0</v>
      </c>
      <c r="G82" s="21">
        <v>0.01</v>
      </c>
      <c r="H82" s="21">
        <v>0</v>
      </c>
      <c r="I82" s="21">
        <v>0</v>
      </c>
      <c r="J82" s="21">
        <v>0</v>
      </c>
      <c r="K82" s="21">
        <v>0</v>
      </c>
      <c r="L82" s="21">
        <v>0</v>
      </c>
      <c r="M82" s="21">
        <v>0</v>
      </c>
      <c r="N82" s="21">
        <v>0</v>
      </c>
      <c r="O82" s="21">
        <v>0</v>
      </c>
      <c r="P82" s="21">
        <v>0</v>
      </c>
      <c r="Q82" s="21">
        <v>0</v>
      </c>
      <c r="R82" s="60">
        <v>0</v>
      </c>
      <c r="S82" s="18"/>
      <c r="T82" s="150">
        <v>1</v>
      </c>
      <c r="U82" s="129">
        <f t="shared" si="1"/>
        <v>79</v>
      </c>
      <c r="V82" s="128" t="s">
        <v>89</v>
      </c>
      <c r="W82" s="229"/>
    </row>
    <row r="83" spans="1:23" s="14" customFormat="1" ht="12.75" customHeight="1">
      <c r="A83" s="230" t="s">
        <v>51</v>
      </c>
      <c r="B83" s="38">
        <v>1</v>
      </c>
      <c r="C83" s="22"/>
      <c r="D83" s="34"/>
      <c r="E83" s="21">
        <v>0</v>
      </c>
      <c r="F83" s="21">
        <v>0</v>
      </c>
      <c r="G83" s="21">
        <v>0</v>
      </c>
      <c r="H83" s="21">
        <v>0.01</v>
      </c>
      <c r="I83" s="21">
        <v>0</v>
      </c>
      <c r="J83" s="21">
        <v>0</v>
      </c>
      <c r="K83" s="21">
        <v>0</v>
      </c>
      <c r="L83" s="21">
        <v>0</v>
      </c>
      <c r="M83" s="21">
        <v>0</v>
      </c>
      <c r="N83" s="21">
        <v>0</v>
      </c>
      <c r="O83" s="21">
        <v>0</v>
      </c>
      <c r="P83" s="21">
        <v>0</v>
      </c>
      <c r="Q83" s="21">
        <v>0</v>
      </c>
      <c r="R83" s="60">
        <v>0</v>
      </c>
      <c r="S83" s="18"/>
      <c r="T83" s="150">
        <v>1</v>
      </c>
      <c r="U83" s="129">
        <f t="shared" si="1"/>
        <v>80</v>
      </c>
      <c r="V83" s="128" t="s">
        <v>94</v>
      </c>
      <c r="W83" s="124" t="s">
        <v>200</v>
      </c>
    </row>
    <row r="84" spans="1:23" s="14" customFormat="1" ht="12.75" customHeight="1">
      <c r="A84" s="230" t="s">
        <v>52</v>
      </c>
      <c r="B84" s="38">
        <v>1</v>
      </c>
      <c r="C84" s="22"/>
      <c r="D84" s="34"/>
      <c r="E84" s="21">
        <v>0</v>
      </c>
      <c r="F84" s="21">
        <v>0</v>
      </c>
      <c r="G84" s="21">
        <v>0</v>
      </c>
      <c r="H84" s="21">
        <v>0</v>
      </c>
      <c r="I84" s="21">
        <v>0.01</v>
      </c>
      <c r="J84" s="21">
        <v>0</v>
      </c>
      <c r="K84" s="21">
        <v>0</v>
      </c>
      <c r="L84" s="21">
        <v>0</v>
      </c>
      <c r="M84" s="21">
        <v>0</v>
      </c>
      <c r="N84" s="21">
        <v>0</v>
      </c>
      <c r="O84" s="21">
        <v>0</v>
      </c>
      <c r="P84" s="21">
        <v>0</v>
      </c>
      <c r="Q84" s="21">
        <v>0</v>
      </c>
      <c r="R84" s="60">
        <v>0</v>
      </c>
      <c r="S84" s="18"/>
      <c r="T84" s="150">
        <v>1</v>
      </c>
      <c r="U84" s="129">
        <f t="shared" si="1"/>
        <v>81</v>
      </c>
      <c r="V84" s="131" t="s">
        <v>95</v>
      </c>
      <c r="W84" s="130" t="s">
        <v>198</v>
      </c>
    </row>
    <row r="85" spans="1:23" s="14" customFormat="1" ht="12.75" customHeight="1">
      <c r="A85" s="230" t="s">
        <v>53</v>
      </c>
      <c r="B85" s="38">
        <v>1</v>
      </c>
      <c r="C85" s="22"/>
      <c r="D85" s="34"/>
      <c r="E85" s="21">
        <v>0</v>
      </c>
      <c r="F85" s="21">
        <v>0</v>
      </c>
      <c r="G85" s="21">
        <v>0</v>
      </c>
      <c r="H85" s="21">
        <v>0</v>
      </c>
      <c r="I85" s="21">
        <v>0</v>
      </c>
      <c r="J85" s="21">
        <v>0.01</v>
      </c>
      <c r="K85" s="21">
        <v>0</v>
      </c>
      <c r="L85" s="21">
        <v>0</v>
      </c>
      <c r="M85" s="21">
        <v>0</v>
      </c>
      <c r="N85" s="21">
        <v>0</v>
      </c>
      <c r="O85" s="21">
        <v>0</v>
      </c>
      <c r="P85" s="21">
        <v>0</v>
      </c>
      <c r="Q85" s="21">
        <v>0</v>
      </c>
      <c r="R85" s="60">
        <v>0</v>
      </c>
      <c r="S85" s="18"/>
      <c r="T85" s="150">
        <v>1</v>
      </c>
      <c r="U85" s="129">
        <f t="shared" si="1"/>
        <v>82</v>
      </c>
      <c r="V85" s="128" t="s">
        <v>49</v>
      </c>
      <c r="W85" s="229"/>
    </row>
    <row r="86" spans="1:23" s="14" customFormat="1" ht="12.75" customHeight="1">
      <c r="A86" s="230" t="s">
        <v>54</v>
      </c>
      <c r="B86" s="38">
        <v>1</v>
      </c>
      <c r="C86" s="22"/>
      <c r="D86" s="34"/>
      <c r="E86" s="21">
        <v>0</v>
      </c>
      <c r="F86" s="21">
        <v>0</v>
      </c>
      <c r="G86" s="21">
        <v>0</v>
      </c>
      <c r="H86" s="21">
        <v>0</v>
      </c>
      <c r="I86" s="21">
        <v>0</v>
      </c>
      <c r="J86" s="21">
        <v>0</v>
      </c>
      <c r="K86" s="21">
        <v>0.01</v>
      </c>
      <c r="L86" s="21">
        <v>0</v>
      </c>
      <c r="M86" s="21">
        <v>0</v>
      </c>
      <c r="N86" s="21">
        <v>0</v>
      </c>
      <c r="O86" s="21">
        <v>0</v>
      </c>
      <c r="P86" s="21">
        <v>0</v>
      </c>
      <c r="Q86" s="21">
        <v>0</v>
      </c>
      <c r="R86" s="60">
        <v>0</v>
      </c>
      <c r="S86" s="18"/>
      <c r="T86" s="150">
        <v>1</v>
      </c>
      <c r="U86" s="129">
        <f t="shared" si="1"/>
        <v>83</v>
      </c>
      <c r="V86" s="128" t="s">
        <v>50</v>
      </c>
      <c r="W86" s="229"/>
    </row>
    <row r="87" spans="1:23" s="14" customFormat="1" ht="12.75" customHeight="1">
      <c r="A87" s="230" t="s">
        <v>55</v>
      </c>
      <c r="B87" s="38">
        <v>1</v>
      </c>
      <c r="C87" s="22"/>
      <c r="D87" s="34"/>
      <c r="E87" s="21">
        <v>0</v>
      </c>
      <c r="F87" s="21">
        <v>0</v>
      </c>
      <c r="G87" s="21">
        <v>0</v>
      </c>
      <c r="H87" s="21">
        <v>0</v>
      </c>
      <c r="I87" s="21">
        <v>0</v>
      </c>
      <c r="J87" s="21">
        <v>0</v>
      </c>
      <c r="K87" s="21">
        <v>0</v>
      </c>
      <c r="L87" s="21">
        <v>0</v>
      </c>
      <c r="M87" s="21">
        <v>0.01</v>
      </c>
      <c r="N87" s="21">
        <v>0</v>
      </c>
      <c r="O87" s="21">
        <v>0</v>
      </c>
      <c r="P87" s="21">
        <v>0</v>
      </c>
      <c r="Q87" s="21">
        <v>0</v>
      </c>
      <c r="R87" s="60">
        <v>0</v>
      </c>
      <c r="S87" s="18"/>
      <c r="T87" s="150">
        <v>1</v>
      </c>
      <c r="U87" s="129">
        <f t="shared" si="1"/>
        <v>84</v>
      </c>
      <c r="V87" s="128" t="s">
        <v>51</v>
      </c>
      <c r="W87" s="229"/>
    </row>
    <row r="88" spans="1:23" s="14" customFormat="1" ht="12.75" customHeight="1">
      <c r="A88" s="63" t="s">
        <v>56</v>
      </c>
      <c r="B88" s="38">
        <v>1</v>
      </c>
      <c r="C88" s="22"/>
      <c r="D88" s="34"/>
      <c r="E88" s="21">
        <v>0</v>
      </c>
      <c r="F88" s="21">
        <v>0</v>
      </c>
      <c r="G88" s="21">
        <v>0</v>
      </c>
      <c r="H88" s="21">
        <v>0</v>
      </c>
      <c r="I88" s="21">
        <v>0</v>
      </c>
      <c r="J88" s="21">
        <v>0</v>
      </c>
      <c r="K88" s="21">
        <v>0</v>
      </c>
      <c r="L88" s="21">
        <v>0</v>
      </c>
      <c r="M88" s="21">
        <v>0</v>
      </c>
      <c r="N88" s="21">
        <v>0.01</v>
      </c>
      <c r="O88" s="21">
        <v>0</v>
      </c>
      <c r="P88" s="21">
        <v>0</v>
      </c>
      <c r="Q88" s="21">
        <v>0</v>
      </c>
      <c r="R88" s="60">
        <v>0</v>
      </c>
      <c r="S88" s="18"/>
      <c r="T88" s="150"/>
      <c r="U88" s="124">
        <f t="shared" si="1"/>
        <v>85</v>
      </c>
      <c r="V88" s="128" t="s">
        <v>52</v>
      </c>
      <c r="W88" s="229"/>
    </row>
    <row r="89" spans="1:23" s="14" customFormat="1" ht="12.75" customHeight="1">
      <c r="A89" s="63" t="s">
        <v>57</v>
      </c>
      <c r="B89" s="38">
        <v>1</v>
      </c>
      <c r="C89" s="22"/>
      <c r="D89" s="34"/>
      <c r="E89" s="21">
        <v>0</v>
      </c>
      <c r="F89" s="21">
        <v>0</v>
      </c>
      <c r="G89" s="21">
        <v>0</v>
      </c>
      <c r="H89" s="21">
        <v>0</v>
      </c>
      <c r="I89" s="21">
        <v>0</v>
      </c>
      <c r="J89" s="21">
        <v>0</v>
      </c>
      <c r="K89" s="21">
        <v>0</v>
      </c>
      <c r="L89" s="21">
        <v>0</v>
      </c>
      <c r="M89" s="21">
        <v>0</v>
      </c>
      <c r="N89" s="21">
        <v>0</v>
      </c>
      <c r="O89" s="21">
        <v>0.01</v>
      </c>
      <c r="P89" s="21">
        <v>0</v>
      </c>
      <c r="Q89" s="21">
        <v>0</v>
      </c>
      <c r="R89" s="60">
        <v>0</v>
      </c>
      <c r="S89" s="18"/>
      <c r="T89" s="150"/>
      <c r="U89" s="124">
        <f t="shared" si="1"/>
        <v>86</v>
      </c>
      <c r="V89" s="128" t="s">
        <v>53</v>
      </c>
      <c r="W89" s="229"/>
    </row>
    <row r="90" spans="1:23" s="14" customFormat="1" ht="12.75" customHeight="1">
      <c r="A90" s="63" t="s">
        <v>58</v>
      </c>
      <c r="B90" s="38">
        <v>1</v>
      </c>
      <c r="C90" s="22"/>
      <c r="D90" s="34"/>
      <c r="E90" s="21">
        <v>0</v>
      </c>
      <c r="F90" s="21">
        <v>0</v>
      </c>
      <c r="G90" s="21">
        <v>0</v>
      </c>
      <c r="H90" s="21">
        <v>0</v>
      </c>
      <c r="I90" s="21">
        <v>0</v>
      </c>
      <c r="J90" s="21">
        <v>0</v>
      </c>
      <c r="K90" s="21">
        <v>0</v>
      </c>
      <c r="L90" s="21">
        <v>0</v>
      </c>
      <c r="M90" s="21">
        <v>0</v>
      </c>
      <c r="N90" s="21">
        <v>0</v>
      </c>
      <c r="O90" s="21">
        <v>0</v>
      </c>
      <c r="P90" s="21">
        <v>0.01</v>
      </c>
      <c r="Q90" s="21">
        <v>0</v>
      </c>
      <c r="R90" s="60">
        <v>0</v>
      </c>
      <c r="S90" s="18"/>
      <c r="T90" s="150"/>
      <c r="U90" s="124">
        <f t="shared" si="1"/>
        <v>87</v>
      </c>
      <c r="V90" s="128" t="s">
        <v>54</v>
      </c>
      <c r="W90" s="229"/>
    </row>
    <row r="91" spans="1:23" s="14" customFormat="1" ht="12.75" customHeight="1">
      <c r="A91" s="63" t="s">
        <v>59</v>
      </c>
      <c r="B91" s="38">
        <v>1</v>
      </c>
      <c r="C91" s="22"/>
      <c r="D91" s="34"/>
      <c r="E91" s="21">
        <v>0</v>
      </c>
      <c r="F91" s="21">
        <v>0</v>
      </c>
      <c r="G91" s="21">
        <v>0</v>
      </c>
      <c r="H91" s="21">
        <v>0</v>
      </c>
      <c r="I91" s="21">
        <v>0</v>
      </c>
      <c r="J91" s="21">
        <v>0</v>
      </c>
      <c r="K91" s="21">
        <v>0</v>
      </c>
      <c r="L91" s="21">
        <v>0</v>
      </c>
      <c r="M91" s="21">
        <v>0</v>
      </c>
      <c r="N91" s="21">
        <v>0</v>
      </c>
      <c r="O91" s="21">
        <v>0</v>
      </c>
      <c r="P91" s="21">
        <v>0</v>
      </c>
      <c r="Q91" s="21">
        <v>0.01</v>
      </c>
      <c r="R91" s="60">
        <v>0</v>
      </c>
      <c r="S91" s="18"/>
      <c r="T91" s="150"/>
      <c r="U91" s="124">
        <f t="shared" si="1"/>
        <v>88</v>
      </c>
      <c r="V91" s="128" t="s">
        <v>55</v>
      </c>
      <c r="W91" s="229"/>
    </row>
    <row r="92" spans="1:23" s="14" customFormat="1" ht="12.75" customHeight="1" thickBot="1">
      <c r="A92" s="65" t="s">
        <v>60</v>
      </c>
      <c r="B92" s="54">
        <v>1</v>
      </c>
      <c r="C92" s="45"/>
      <c r="D92" s="55"/>
      <c r="E92" s="59">
        <v>0</v>
      </c>
      <c r="F92" s="59">
        <v>0</v>
      </c>
      <c r="G92" s="59">
        <v>0</v>
      </c>
      <c r="H92" s="59">
        <v>0</v>
      </c>
      <c r="I92" s="59">
        <v>0</v>
      </c>
      <c r="J92" s="59">
        <v>0</v>
      </c>
      <c r="K92" s="59">
        <v>0</v>
      </c>
      <c r="L92" s="59">
        <v>0</v>
      </c>
      <c r="M92" s="59">
        <v>0</v>
      </c>
      <c r="N92" s="59">
        <v>0</v>
      </c>
      <c r="O92" s="59">
        <v>0</v>
      </c>
      <c r="P92" s="59">
        <v>0</v>
      </c>
      <c r="Q92" s="59">
        <v>0</v>
      </c>
      <c r="R92" s="61">
        <v>0.01</v>
      </c>
      <c r="S92" s="18"/>
      <c r="T92" s="150"/>
      <c r="U92" s="124">
        <f t="shared" si="1"/>
        <v>89</v>
      </c>
      <c r="V92" s="131" t="s">
        <v>56</v>
      </c>
      <c r="W92" s="130" t="s">
        <v>145</v>
      </c>
    </row>
    <row r="93" spans="1:23" s="106" customFormat="1" ht="12.75" customHeight="1" thickBot="1">
      <c r="A93" s="234" t="s">
        <v>196</v>
      </c>
      <c r="B93" s="119">
        <v>1</v>
      </c>
      <c r="C93" s="120"/>
      <c r="D93" s="121"/>
      <c r="E93" s="122">
        <v>3.3411200547024452E-3</v>
      </c>
      <c r="F93" s="122">
        <v>5.364368199024961E-3</v>
      </c>
      <c r="G93" s="122">
        <v>-6.9660418128931293E-5</v>
      </c>
      <c r="H93" s="122">
        <v>-7.1518029279036123E-4</v>
      </c>
      <c r="I93" s="122">
        <v>2.3411060522293427E-3</v>
      </c>
      <c r="J93" s="122">
        <v>6.5640754001343336E-3</v>
      </c>
      <c r="K93" s="122">
        <v>1.9112754722189742E-3</v>
      </c>
      <c r="L93" s="122">
        <v>-2.1388328381068164E-3</v>
      </c>
      <c r="M93" s="122">
        <v>1.6579179514685646E-3</v>
      </c>
      <c r="N93" s="122">
        <v>0</v>
      </c>
      <c r="O93" s="122">
        <v>0</v>
      </c>
      <c r="P93" s="122">
        <v>0</v>
      </c>
      <c r="Q93" s="122">
        <v>0</v>
      </c>
      <c r="R93" s="123">
        <v>0</v>
      </c>
      <c r="S93" s="107"/>
      <c r="T93" s="150">
        <v>1</v>
      </c>
      <c r="U93" s="129">
        <f t="shared" si="1"/>
        <v>90</v>
      </c>
      <c r="V93" s="131" t="s">
        <v>57</v>
      </c>
      <c r="W93" s="130" t="s">
        <v>145</v>
      </c>
    </row>
    <row r="94" spans="1:23" s="14" customFormat="1" ht="12.75" customHeight="1" thickBot="1">
      <c r="A94" s="19"/>
      <c r="B94" s="39"/>
      <c r="C94" s="19"/>
      <c r="D94" s="19"/>
      <c r="E94" s="18"/>
      <c r="F94" s="18"/>
      <c r="G94" s="18"/>
      <c r="H94" s="18"/>
      <c r="I94" s="18"/>
      <c r="J94" s="18"/>
      <c r="K94" s="18"/>
      <c r="L94" s="18"/>
      <c r="M94" s="18"/>
      <c r="N94" s="18"/>
      <c r="O94" s="18"/>
      <c r="P94" s="18"/>
      <c r="Q94" s="18"/>
      <c r="R94" s="18"/>
      <c r="S94" s="18"/>
      <c r="T94" s="150"/>
      <c r="U94" s="124"/>
      <c r="V94" s="131" t="s">
        <v>58</v>
      </c>
      <c r="W94" s="130" t="s">
        <v>145</v>
      </c>
    </row>
    <row r="95" spans="1:23" s="14" customFormat="1" ht="12.75" customHeight="1">
      <c r="A95" s="64" t="s">
        <v>107</v>
      </c>
      <c r="B95" s="40"/>
      <c r="C95" s="25"/>
      <c r="D95" s="25"/>
      <c r="E95" s="35"/>
      <c r="F95" s="36"/>
      <c r="G95" s="36"/>
      <c r="H95" s="36"/>
      <c r="I95" s="36"/>
      <c r="J95" s="36"/>
      <c r="K95" s="36"/>
      <c r="L95" s="36"/>
      <c r="M95" s="36"/>
      <c r="N95" s="36"/>
      <c r="O95" s="36"/>
      <c r="P95" s="36"/>
      <c r="Q95" s="36"/>
      <c r="R95" s="37"/>
      <c r="S95" s="18"/>
      <c r="T95" s="150"/>
      <c r="U95" s="124"/>
      <c r="V95" s="131" t="s">
        <v>59</v>
      </c>
      <c r="W95" s="130" t="s">
        <v>145</v>
      </c>
    </row>
    <row r="96" spans="1:23" s="14" customFormat="1" ht="12.75" customHeight="1">
      <c r="A96" s="63" t="s">
        <v>108</v>
      </c>
      <c r="B96" s="4"/>
      <c r="C96" s="19"/>
      <c r="D96" s="19"/>
      <c r="E96" s="41">
        <v>1E-3</v>
      </c>
      <c r="F96" s="42">
        <v>1E-3</v>
      </c>
      <c r="G96" s="42">
        <v>1E-3</v>
      </c>
      <c r="H96" s="42">
        <v>1E-3</v>
      </c>
      <c r="I96" s="42">
        <v>1E-3</v>
      </c>
      <c r="J96" s="42">
        <v>1E-3</v>
      </c>
      <c r="K96" s="42">
        <v>1E-3</v>
      </c>
      <c r="L96" s="42">
        <v>1E-3</v>
      </c>
      <c r="M96" s="42">
        <v>1E-3</v>
      </c>
      <c r="N96" s="42">
        <v>1E-3</v>
      </c>
      <c r="O96" s="42">
        <v>1E-3</v>
      </c>
      <c r="P96" s="42">
        <v>1E-3</v>
      </c>
      <c r="Q96" s="42">
        <v>1E-3</v>
      </c>
      <c r="R96" s="43">
        <v>1E-3</v>
      </c>
      <c r="S96" s="18"/>
      <c r="T96" s="150"/>
      <c r="U96" s="124"/>
      <c r="V96" s="131" t="s">
        <v>60</v>
      </c>
      <c r="W96" s="130" t="s">
        <v>145</v>
      </c>
    </row>
    <row r="97" spans="1:23" s="14" customFormat="1" ht="12.75" customHeight="1" thickBot="1">
      <c r="A97" s="65" t="s">
        <v>109</v>
      </c>
      <c r="B97" s="5"/>
      <c r="C97" s="27"/>
      <c r="D97" s="27"/>
      <c r="E97" s="30"/>
      <c r="F97" s="28"/>
      <c r="G97" s="28"/>
      <c r="H97" s="28"/>
      <c r="I97" s="28"/>
      <c r="J97" s="28"/>
      <c r="K97" s="28"/>
      <c r="L97" s="28"/>
      <c r="M97" s="28"/>
      <c r="N97" s="28"/>
      <c r="O97" s="28"/>
      <c r="P97" s="28"/>
      <c r="Q97" s="28"/>
      <c r="R97" s="29"/>
      <c r="S97" s="18"/>
      <c r="T97" s="150"/>
      <c r="U97" s="124"/>
      <c r="V97" s="223" t="s">
        <v>196</v>
      </c>
      <c r="W97" s="146"/>
    </row>
    <row r="98" spans="1:23" s="14" customFormat="1" ht="12.75" customHeight="1" thickBot="1">
      <c r="A98" s="19"/>
      <c r="B98" s="18"/>
      <c r="C98" s="19"/>
      <c r="D98" s="19"/>
      <c r="E98" s="31" t="s">
        <v>85</v>
      </c>
      <c r="F98" s="32" t="s">
        <v>89</v>
      </c>
      <c r="G98" s="32" t="s">
        <v>86</v>
      </c>
      <c r="H98" s="32" t="s">
        <v>87</v>
      </c>
      <c r="I98" s="32" t="s">
        <v>88</v>
      </c>
      <c r="J98" s="32" t="s">
        <v>96</v>
      </c>
      <c r="K98" s="32" t="s">
        <v>97</v>
      </c>
      <c r="L98" s="32" t="s">
        <v>94</v>
      </c>
      <c r="M98" s="32" t="s">
        <v>98</v>
      </c>
      <c r="N98" s="32" t="s">
        <v>101</v>
      </c>
      <c r="O98" s="32" t="s">
        <v>90</v>
      </c>
      <c r="P98" s="32" t="s">
        <v>113</v>
      </c>
      <c r="Q98" s="32" t="s">
        <v>114</v>
      </c>
      <c r="R98" s="33" t="s">
        <v>102</v>
      </c>
      <c r="S98" s="18"/>
      <c r="T98" s="150"/>
      <c r="U98" s="146"/>
      <c r="V98" s="146"/>
      <c r="W98" s="146"/>
    </row>
    <row r="99" spans="1:23" s="14" customFormat="1" ht="12.75" customHeight="1">
      <c r="A99" s="19"/>
      <c r="B99" s="18"/>
      <c r="C99" s="19"/>
      <c r="D99" s="19"/>
      <c r="E99" s="18"/>
      <c r="F99" s="18"/>
      <c r="G99" s="18"/>
      <c r="H99" s="18"/>
      <c r="I99" s="18"/>
      <c r="J99" s="18"/>
      <c r="K99" s="18"/>
      <c r="L99" s="18"/>
      <c r="M99" s="18"/>
      <c r="N99" s="18"/>
      <c r="O99" s="18"/>
      <c r="P99" s="18"/>
      <c r="Q99" s="18"/>
      <c r="R99" s="18"/>
      <c r="S99" s="18"/>
      <c r="T99" s="150"/>
      <c r="U99" s="146"/>
      <c r="V99" s="146"/>
      <c r="W99" s="146"/>
    </row>
    <row r="100" spans="1:23" s="14" customFormat="1" ht="12.75" customHeight="1">
      <c r="A100" s="19"/>
      <c r="B100" s="18"/>
      <c r="C100" s="19"/>
      <c r="D100" s="19"/>
      <c r="E100" s="18"/>
      <c r="F100" s="18"/>
      <c r="G100" s="18"/>
      <c r="H100" s="18"/>
      <c r="I100" s="18"/>
      <c r="J100" s="18"/>
      <c r="K100" s="18"/>
      <c r="L100" s="18"/>
      <c r="M100" s="18"/>
      <c r="N100" s="18"/>
      <c r="O100" s="18"/>
      <c r="P100" s="18"/>
      <c r="Q100" s="18"/>
      <c r="R100" s="18"/>
      <c r="S100" s="18"/>
      <c r="T100" s="150"/>
      <c r="U100" s="146"/>
      <c r="V100" s="146"/>
      <c r="W100" s="146"/>
    </row>
    <row r="101" spans="1:23" s="14" customFormat="1" ht="12.75" customHeight="1">
      <c r="B101" s="13"/>
      <c r="E101" s="13"/>
      <c r="F101" s="13"/>
      <c r="G101" s="13"/>
      <c r="H101" s="13"/>
      <c r="I101" s="13"/>
      <c r="J101" s="13"/>
      <c r="K101" s="13"/>
      <c r="L101" s="13"/>
      <c r="M101" s="13"/>
      <c r="N101" s="13"/>
      <c r="O101" s="13"/>
      <c r="P101" s="13"/>
      <c r="Q101" s="13"/>
      <c r="R101" s="13"/>
      <c r="S101" s="13"/>
      <c r="T101" s="145"/>
      <c r="U101" s="146"/>
      <c r="V101" s="146"/>
      <c r="W101" s="146"/>
    </row>
    <row r="102" spans="1:23" s="14" customFormat="1" ht="12.75" customHeight="1">
      <c r="B102" s="13"/>
      <c r="E102" s="13"/>
      <c r="F102" s="13"/>
      <c r="G102" s="13"/>
      <c r="H102" s="13"/>
      <c r="I102" s="13"/>
      <c r="J102" s="13"/>
      <c r="K102" s="13"/>
      <c r="L102" s="13"/>
      <c r="M102" s="13"/>
      <c r="N102" s="13"/>
      <c r="O102" s="13"/>
      <c r="P102" s="13"/>
      <c r="Q102" s="13"/>
      <c r="R102" s="13"/>
      <c r="S102" s="13"/>
      <c r="T102" s="145"/>
      <c r="U102" s="146"/>
      <c r="V102" s="146"/>
      <c r="W102" s="146"/>
    </row>
    <row r="103" spans="1:23" s="11" customFormat="1" ht="12.75">
      <c r="B103" s="10"/>
      <c r="E103" s="10"/>
      <c r="F103" s="10"/>
      <c r="G103" s="10"/>
      <c r="H103" s="10"/>
      <c r="I103" s="10"/>
      <c r="J103" s="10"/>
      <c r="K103" s="10"/>
      <c r="L103" s="10"/>
      <c r="M103" s="10"/>
      <c r="N103" s="10"/>
      <c r="O103" s="10"/>
      <c r="P103" s="10"/>
      <c r="Q103" s="10"/>
      <c r="R103" s="10"/>
      <c r="S103" s="10"/>
      <c r="T103" s="143"/>
      <c r="U103" s="146"/>
      <c r="V103" s="146"/>
      <c r="W103" s="146"/>
    </row>
    <row r="104" spans="1:23" s="11" customFormat="1" ht="12.75">
      <c r="B104" s="10"/>
      <c r="E104" s="10"/>
      <c r="F104" s="10"/>
      <c r="G104" s="10"/>
      <c r="H104" s="10"/>
      <c r="I104" s="10"/>
      <c r="J104" s="10"/>
      <c r="K104" s="10"/>
      <c r="L104" s="10"/>
      <c r="M104" s="10"/>
      <c r="N104" s="10"/>
      <c r="O104" s="10"/>
      <c r="P104" s="10"/>
      <c r="Q104" s="10"/>
      <c r="R104" s="10"/>
      <c r="S104" s="10"/>
      <c r="T104" s="143"/>
      <c r="U104" s="146"/>
      <c r="V104" s="146"/>
      <c r="W104" s="146"/>
    </row>
    <row r="105" spans="1:23" s="11" customFormat="1" ht="12.75">
      <c r="B105" s="10"/>
      <c r="E105" s="10"/>
      <c r="F105" s="10"/>
      <c r="G105" s="10"/>
      <c r="H105" s="10"/>
      <c r="I105" s="10"/>
      <c r="J105" s="10"/>
      <c r="K105" s="10"/>
      <c r="L105" s="10"/>
      <c r="M105" s="10"/>
      <c r="N105" s="10"/>
      <c r="O105" s="10"/>
      <c r="P105" s="10"/>
      <c r="Q105" s="10"/>
      <c r="R105" s="10"/>
      <c r="S105" s="10"/>
      <c r="T105" s="143"/>
      <c r="U105" s="146"/>
      <c r="V105" s="146"/>
      <c r="W105" s="146"/>
    </row>
    <row r="106" spans="1:23">
      <c r="U106" s="146"/>
      <c r="V106" s="146"/>
      <c r="W106" s="146"/>
    </row>
    <row r="107" spans="1:23">
      <c r="B107" s="6"/>
      <c r="U107" s="144"/>
      <c r="V107" s="144"/>
      <c r="W107" s="144"/>
    </row>
    <row r="108" spans="1:23">
      <c r="B108" s="6"/>
      <c r="U108" s="144"/>
      <c r="V108" s="144"/>
      <c r="W108" s="144"/>
    </row>
    <row r="109" spans="1:23">
      <c r="B109" s="6"/>
      <c r="U109" s="144"/>
      <c r="V109" s="144"/>
      <c r="W109" s="144"/>
    </row>
    <row r="110" spans="1:23">
      <c r="B110" s="6"/>
    </row>
    <row r="111" spans="1:23">
      <c r="B111" s="6"/>
    </row>
  </sheetData>
  <pageMargins left="0.7" right="0.7" top="0.75" bottom="0.75" header="0.3" footer="0.3"/>
  <drawing r:id="rId1"/>
  <legacyDrawing r:id="rId2"/>
  <controls>
    <mc:AlternateContent xmlns:mc="http://schemas.openxmlformats.org/markup-compatibility/2006">
      <mc:Choice Requires="x14">
        <control shapeId="3079" r:id="rId3" name="VarErr1">
          <controlPr defaultSize="0" autoLine="0" r:id="rId4">
            <anchor moveWithCells="1">
              <from>
                <xdr:col>2</xdr:col>
                <xdr:colOff>247650</xdr:colOff>
                <xdr:row>3</xdr:row>
                <xdr:rowOff>19050</xdr:rowOff>
              </from>
              <to>
                <xdr:col>2</xdr:col>
                <xdr:colOff>409575</xdr:colOff>
                <xdr:row>3</xdr:row>
                <xdr:rowOff>142875</xdr:rowOff>
              </to>
            </anchor>
          </controlPr>
        </control>
      </mc:Choice>
      <mc:Fallback>
        <control shapeId="3079" r:id="rId3" name="VarErr1"/>
      </mc:Fallback>
    </mc:AlternateContent>
    <mc:AlternateContent xmlns:mc="http://schemas.openxmlformats.org/markup-compatibility/2006">
      <mc:Choice Requires="x14">
        <control shapeId="3080" r:id="rId5" name="VarErr2">
          <controlPr defaultSize="0" autoLine="0" r:id="rId4">
            <anchor moveWithCells="1">
              <from>
                <xdr:col>2</xdr:col>
                <xdr:colOff>247650</xdr:colOff>
                <xdr:row>4</xdr:row>
                <xdr:rowOff>19050</xdr:rowOff>
              </from>
              <to>
                <xdr:col>2</xdr:col>
                <xdr:colOff>409575</xdr:colOff>
                <xdr:row>4</xdr:row>
                <xdr:rowOff>142875</xdr:rowOff>
              </to>
            </anchor>
          </controlPr>
        </control>
      </mc:Choice>
      <mc:Fallback>
        <control shapeId="3080" r:id="rId5" name="VarErr2"/>
      </mc:Fallback>
    </mc:AlternateContent>
    <mc:AlternateContent xmlns:mc="http://schemas.openxmlformats.org/markup-compatibility/2006">
      <mc:Choice Requires="x14">
        <control shapeId="3081" r:id="rId6" name="VarErr3">
          <controlPr defaultSize="0" autoLine="0" r:id="rId4">
            <anchor moveWithCells="1">
              <from>
                <xdr:col>2</xdr:col>
                <xdr:colOff>247650</xdr:colOff>
                <xdr:row>5</xdr:row>
                <xdr:rowOff>19050</xdr:rowOff>
              </from>
              <to>
                <xdr:col>2</xdr:col>
                <xdr:colOff>409575</xdr:colOff>
                <xdr:row>5</xdr:row>
                <xdr:rowOff>142875</xdr:rowOff>
              </to>
            </anchor>
          </controlPr>
        </control>
      </mc:Choice>
      <mc:Fallback>
        <control shapeId="3081" r:id="rId6" name="VarErr3"/>
      </mc:Fallback>
    </mc:AlternateContent>
    <mc:AlternateContent xmlns:mc="http://schemas.openxmlformats.org/markup-compatibility/2006">
      <mc:Choice Requires="x14">
        <control shapeId="3082" r:id="rId7" name="VarErr4">
          <controlPr defaultSize="0" autoLine="0" r:id="rId4">
            <anchor moveWithCells="1">
              <from>
                <xdr:col>2</xdr:col>
                <xdr:colOff>247650</xdr:colOff>
                <xdr:row>6</xdr:row>
                <xdr:rowOff>19050</xdr:rowOff>
              </from>
              <to>
                <xdr:col>2</xdr:col>
                <xdr:colOff>409575</xdr:colOff>
                <xdr:row>6</xdr:row>
                <xdr:rowOff>142875</xdr:rowOff>
              </to>
            </anchor>
          </controlPr>
        </control>
      </mc:Choice>
      <mc:Fallback>
        <control shapeId="3082" r:id="rId7" name="VarErr4"/>
      </mc:Fallback>
    </mc:AlternateContent>
    <mc:AlternateContent xmlns:mc="http://schemas.openxmlformats.org/markup-compatibility/2006">
      <mc:Choice Requires="x14">
        <control shapeId="3083" r:id="rId8" name="VarErr5">
          <controlPr defaultSize="0" autoLine="0" r:id="rId4">
            <anchor moveWithCells="1">
              <from>
                <xdr:col>2</xdr:col>
                <xdr:colOff>247650</xdr:colOff>
                <xdr:row>7</xdr:row>
                <xdr:rowOff>19050</xdr:rowOff>
              </from>
              <to>
                <xdr:col>2</xdr:col>
                <xdr:colOff>409575</xdr:colOff>
                <xdr:row>7</xdr:row>
                <xdr:rowOff>142875</xdr:rowOff>
              </to>
            </anchor>
          </controlPr>
        </control>
      </mc:Choice>
      <mc:Fallback>
        <control shapeId="3083" r:id="rId8" name="VarErr5"/>
      </mc:Fallback>
    </mc:AlternateContent>
    <mc:AlternateContent xmlns:mc="http://schemas.openxmlformats.org/markup-compatibility/2006">
      <mc:Choice Requires="x14">
        <control shapeId="3084" r:id="rId9" name="VarErr6">
          <controlPr defaultSize="0" autoLine="0" r:id="rId4">
            <anchor moveWithCells="1">
              <from>
                <xdr:col>2</xdr:col>
                <xdr:colOff>247650</xdr:colOff>
                <xdr:row>8</xdr:row>
                <xdr:rowOff>19050</xdr:rowOff>
              </from>
              <to>
                <xdr:col>2</xdr:col>
                <xdr:colOff>409575</xdr:colOff>
                <xdr:row>8</xdr:row>
                <xdr:rowOff>142875</xdr:rowOff>
              </to>
            </anchor>
          </controlPr>
        </control>
      </mc:Choice>
      <mc:Fallback>
        <control shapeId="3084" r:id="rId9" name="VarErr6"/>
      </mc:Fallback>
    </mc:AlternateContent>
    <mc:AlternateContent xmlns:mc="http://schemas.openxmlformats.org/markup-compatibility/2006">
      <mc:Choice Requires="x14">
        <control shapeId="3085" r:id="rId10" name="VarErr7">
          <controlPr defaultSize="0" autoLine="0" r:id="rId4">
            <anchor moveWithCells="1">
              <from>
                <xdr:col>2</xdr:col>
                <xdr:colOff>247650</xdr:colOff>
                <xdr:row>9</xdr:row>
                <xdr:rowOff>19050</xdr:rowOff>
              </from>
              <to>
                <xdr:col>2</xdr:col>
                <xdr:colOff>409575</xdr:colOff>
                <xdr:row>9</xdr:row>
                <xdr:rowOff>142875</xdr:rowOff>
              </to>
            </anchor>
          </controlPr>
        </control>
      </mc:Choice>
      <mc:Fallback>
        <control shapeId="3085" r:id="rId10" name="VarErr7"/>
      </mc:Fallback>
    </mc:AlternateContent>
    <mc:AlternateContent xmlns:mc="http://schemas.openxmlformats.org/markup-compatibility/2006">
      <mc:Choice Requires="x14">
        <control shapeId="3086" r:id="rId11" name="VarErr8">
          <controlPr defaultSize="0" autoLine="0" r:id="rId4">
            <anchor moveWithCells="1">
              <from>
                <xdr:col>2</xdr:col>
                <xdr:colOff>247650</xdr:colOff>
                <xdr:row>10</xdr:row>
                <xdr:rowOff>19050</xdr:rowOff>
              </from>
              <to>
                <xdr:col>2</xdr:col>
                <xdr:colOff>409575</xdr:colOff>
                <xdr:row>10</xdr:row>
                <xdr:rowOff>142875</xdr:rowOff>
              </to>
            </anchor>
          </controlPr>
        </control>
      </mc:Choice>
      <mc:Fallback>
        <control shapeId="3086" r:id="rId11" name="VarErr8"/>
      </mc:Fallback>
    </mc:AlternateContent>
    <mc:AlternateContent xmlns:mc="http://schemas.openxmlformats.org/markup-compatibility/2006">
      <mc:Choice Requires="x14">
        <control shapeId="3087" r:id="rId12" name="VarErr9">
          <controlPr defaultSize="0" autoLine="0" r:id="rId4">
            <anchor moveWithCells="1">
              <from>
                <xdr:col>2</xdr:col>
                <xdr:colOff>247650</xdr:colOff>
                <xdr:row>11</xdr:row>
                <xdr:rowOff>19050</xdr:rowOff>
              </from>
              <to>
                <xdr:col>2</xdr:col>
                <xdr:colOff>409575</xdr:colOff>
                <xdr:row>11</xdr:row>
                <xdr:rowOff>142875</xdr:rowOff>
              </to>
            </anchor>
          </controlPr>
        </control>
      </mc:Choice>
      <mc:Fallback>
        <control shapeId="3087" r:id="rId12" name="VarErr9"/>
      </mc:Fallback>
    </mc:AlternateContent>
    <mc:AlternateContent xmlns:mc="http://schemas.openxmlformats.org/markup-compatibility/2006">
      <mc:Choice Requires="x14">
        <control shapeId="3088" r:id="rId13" name="VarErr10">
          <controlPr defaultSize="0" autoLine="0" r:id="rId4">
            <anchor moveWithCells="1">
              <from>
                <xdr:col>2</xdr:col>
                <xdr:colOff>247650</xdr:colOff>
                <xdr:row>12</xdr:row>
                <xdr:rowOff>19050</xdr:rowOff>
              </from>
              <to>
                <xdr:col>2</xdr:col>
                <xdr:colOff>409575</xdr:colOff>
                <xdr:row>12</xdr:row>
                <xdr:rowOff>142875</xdr:rowOff>
              </to>
            </anchor>
          </controlPr>
        </control>
      </mc:Choice>
      <mc:Fallback>
        <control shapeId="3088" r:id="rId13" name="VarErr10"/>
      </mc:Fallback>
    </mc:AlternateContent>
    <mc:AlternateContent xmlns:mc="http://schemas.openxmlformats.org/markup-compatibility/2006">
      <mc:Choice Requires="x14">
        <control shapeId="3089" r:id="rId14" name="VarErr11">
          <controlPr defaultSize="0" autoLine="0" r:id="rId4">
            <anchor moveWithCells="1">
              <from>
                <xdr:col>2</xdr:col>
                <xdr:colOff>247650</xdr:colOff>
                <xdr:row>13</xdr:row>
                <xdr:rowOff>19050</xdr:rowOff>
              </from>
              <to>
                <xdr:col>2</xdr:col>
                <xdr:colOff>409575</xdr:colOff>
                <xdr:row>13</xdr:row>
                <xdr:rowOff>142875</xdr:rowOff>
              </to>
            </anchor>
          </controlPr>
        </control>
      </mc:Choice>
      <mc:Fallback>
        <control shapeId="3089" r:id="rId14" name="VarErr11"/>
      </mc:Fallback>
    </mc:AlternateContent>
    <mc:AlternateContent xmlns:mc="http://schemas.openxmlformats.org/markup-compatibility/2006">
      <mc:Choice Requires="x14">
        <control shapeId="3090" r:id="rId15" name="VarErr12">
          <controlPr defaultSize="0" autoLine="0" r:id="rId4">
            <anchor moveWithCells="1">
              <from>
                <xdr:col>2</xdr:col>
                <xdr:colOff>247650</xdr:colOff>
                <xdr:row>14</xdr:row>
                <xdr:rowOff>19050</xdr:rowOff>
              </from>
              <to>
                <xdr:col>2</xdr:col>
                <xdr:colOff>409575</xdr:colOff>
                <xdr:row>14</xdr:row>
                <xdr:rowOff>142875</xdr:rowOff>
              </to>
            </anchor>
          </controlPr>
        </control>
      </mc:Choice>
      <mc:Fallback>
        <control shapeId="3090" r:id="rId15" name="VarErr12"/>
      </mc:Fallback>
    </mc:AlternateContent>
    <mc:AlternateContent xmlns:mc="http://schemas.openxmlformats.org/markup-compatibility/2006">
      <mc:Choice Requires="x14">
        <control shapeId="3091" r:id="rId16" name="VarErr13">
          <controlPr defaultSize="0" autoLine="0" r:id="rId4">
            <anchor moveWithCells="1">
              <from>
                <xdr:col>2</xdr:col>
                <xdr:colOff>247650</xdr:colOff>
                <xdr:row>15</xdr:row>
                <xdr:rowOff>19050</xdr:rowOff>
              </from>
              <to>
                <xdr:col>2</xdr:col>
                <xdr:colOff>409575</xdr:colOff>
                <xdr:row>15</xdr:row>
                <xdr:rowOff>142875</xdr:rowOff>
              </to>
            </anchor>
          </controlPr>
        </control>
      </mc:Choice>
      <mc:Fallback>
        <control shapeId="3091" r:id="rId16" name="VarErr13"/>
      </mc:Fallback>
    </mc:AlternateContent>
    <mc:AlternateContent xmlns:mc="http://schemas.openxmlformats.org/markup-compatibility/2006">
      <mc:Choice Requires="x14">
        <control shapeId="3092" r:id="rId17" name="VarErr14">
          <controlPr defaultSize="0" autoLine="0" r:id="rId4">
            <anchor moveWithCells="1">
              <from>
                <xdr:col>2</xdr:col>
                <xdr:colOff>247650</xdr:colOff>
                <xdr:row>16</xdr:row>
                <xdr:rowOff>19050</xdr:rowOff>
              </from>
              <to>
                <xdr:col>2</xdr:col>
                <xdr:colOff>409575</xdr:colOff>
                <xdr:row>16</xdr:row>
                <xdr:rowOff>142875</xdr:rowOff>
              </to>
            </anchor>
          </controlPr>
        </control>
      </mc:Choice>
      <mc:Fallback>
        <control shapeId="3092" r:id="rId17" name="VarErr14"/>
      </mc:Fallback>
    </mc:AlternateContent>
    <mc:AlternateContent xmlns:mc="http://schemas.openxmlformats.org/markup-compatibility/2006">
      <mc:Choice Requires="x14">
        <control shapeId="3093" r:id="rId18" name="VarErr15">
          <controlPr defaultSize="0" autoLine="0" r:id="rId4">
            <anchor moveWithCells="1">
              <from>
                <xdr:col>2</xdr:col>
                <xdr:colOff>247650</xdr:colOff>
                <xdr:row>17</xdr:row>
                <xdr:rowOff>19050</xdr:rowOff>
              </from>
              <to>
                <xdr:col>2</xdr:col>
                <xdr:colOff>409575</xdr:colOff>
                <xdr:row>17</xdr:row>
                <xdr:rowOff>142875</xdr:rowOff>
              </to>
            </anchor>
          </controlPr>
        </control>
      </mc:Choice>
      <mc:Fallback>
        <control shapeId="3093" r:id="rId18" name="VarErr15"/>
      </mc:Fallback>
    </mc:AlternateContent>
    <mc:AlternateContent xmlns:mc="http://schemas.openxmlformats.org/markup-compatibility/2006">
      <mc:Choice Requires="x14">
        <control shapeId="3094" r:id="rId19" name="VarErr16">
          <controlPr defaultSize="0" autoLine="0" r:id="rId4">
            <anchor moveWithCells="1">
              <from>
                <xdr:col>2</xdr:col>
                <xdr:colOff>247650</xdr:colOff>
                <xdr:row>18</xdr:row>
                <xdr:rowOff>19050</xdr:rowOff>
              </from>
              <to>
                <xdr:col>2</xdr:col>
                <xdr:colOff>409575</xdr:colOff>
                <xdr:row>18</xdr:row>
                <xdr:rowOff>142875</xdr:rowOff>
              </to>
            </anchor>
          </controlPr>
        </control>
      </mc:Choice>
      <mc:Fallback>
        <control shapeId="3094" r:id="rId19" name="VarErr16"/>
      </mc:Fallback>
    </mc:AlternateContent>
    <mc:AlternateContent xmlns:mc="http://schemas.openxmlformats.org/markup-compatibility/2006">
      <mc:Choice Requires="x14">
        <control shapeId="3095" r:id="rId20" name="VarErr17">
          <controlPr defaultSize="0" autoLine="0" r:id="rId4">
            <anchor moveWithCells="1">
              <from>
                <xdr:col>2</xdr:col>
                <xdr:colOff>247650</xdr:colOff>
                <xdr:row>19</xdr:row>
                <xdr:rowOff>19050</xdr:rowOff>
              </from>
              <to>
                <xdr:col>2</xdr:col>
                <xdr:colOff>409575</xdr:colOff>
                <xdr:row>19</xdr:row>
                <xdr:rowOff>142875</xdr:rowOff>
              </to>
            </anchor>
          </controlPr>
        </control>
      </mc:Choice>
      <mc:Fallback>
        <control shapeId="3095" r:id="rId20" name="VarErr17"/>
      </mc:Fallback>
    </mc:AlternateContent>
    <mc:AlternateContent xmlns:mc="http://schemas.openxmlformats.org/markup-compatibility/2006">
      <mc:Choice Requires="x14">
        <control shapeId="3096" r:id="rId21" name="VarErr18">
          <controlPr defaultSize="0" autoLine="0" r:id="rId4">
            <anchor moveWithCells="1">
              <from>
                <xdr:col>2</xdr:col>
                <xdr:colOff>247650</xdr:colOff>
                <xdr:row>20</xdr:row>
                <xdr:rowOff>19050</xdr:rowOff>
              </from>
              <to>
                <xdr:col>2</xdr:col>
                <xdr:colOff>409575</xdr:colOff>
                <xdr:row>20</xdr:row>
                <xdr:rowOff>142875</xdr:rowOff>
              </to>
            </anchor>
          </controlPr>
        </control>
      </mc:Choice>
      <mc:Fallback>
        <control shapeId="3096" r:id="rId21" name="VarErr18"/>
      </mc:Fallback>
    </mc:AlternateContent>
    <mc:AlternateContent xmlns:mc="http://schemas.openxmlformats.org/markup-compatibility/2006">
      <mc:Choice Requires="x14">
        <control shapeId="3097" r:id="rId22" name="VarErr19">
          <controlPr defaultSize="0" autoLine="0" r:id="rId4">
            <anchor moveWithCells="1">
              <from>
                <xdr:col>2</xdr:col>
                <xdr:colOff>247650</xdr:colOff>
                <xdr:row>21</xdr:row>
                <xdr:rowOff>19050</xdr:rowOff>
              </from>
              <to>
                <xdr:col>2</xdr:col>
                <xdr:colOff>409575</xdr:colOff>
                <xdr:row>21</xdr:row>
                <xdr:rowOff>142875</xdr:rowOff>
              </to>
            </anchor>
          </controlPr>
        </control>
      </mc:Choice>
      <mc:Fallback>
        <control shapeId="3097" r:id="rId22" name="VarErr19"/>
      </mc:Fallback>
    </mc:AlternateContent>
    <mc:AlternateContent xmlns:mc="http://schemas.openxmlformats.org/markup-compatibility/2006">
      <mc:Choice Requires="x14">
        <control shapeId="3098" r:id="rId23" name="VarErr20">
          <controlPr defaultSize="0" autoLine="0" r:id="rId4">
            <anchor moveWithCells="1">
              <from>
                <xdr:col>2</xdr:col>
                <xdr:colOff>247650</xdr:colOff>
                <xdr:row>22</xdr:row>
                <xdr:rowOff>19050</xdr:rowOff>
              </from>
              <to>
                <xdr:col>2</xdr:col>
                <xdr:colOff>409575</xdr:colOff>
                <xdr:row>22</xdr:row>
                <xdr:rowOff>142875</xdr:rowOff>
              </to>
            </anchor>
          </controlPr>
        </control>
      </mc:Choice>
      <mc:Fallback>
        <control shapeId="3098" r:id="rId23" name="VarErr20"/>
      </mc:Fallback>
    </mc:AlternateContent>
    <mc:AlternateContent xmlns:mc="http://schemas.openxmlformats.org/markup-compatibility/2006">
      <mc:Choice Requires="x14">
        <control shapeId="3099" r:id="rId24" name="VarErr21">
          <controlPr defaultSize="0" autoLine="0" r:id="rId4">
            <anchor moveWithCells="1">
              <from>
                <xdr:col>2</xdr:col>
                <xdr:colOff>247650</xdr:colOff>
                <xdr:row>23</xdr:row>
                <xdr:rowOff>19050</xdr:rowOff>
              </from>
              <to>
                <xdr:col>2</xdr:col>
                <xdr:colOff>409575</xdr:colOff>
                <xdr:row>23</xdr:row>
                <xdr:rowOff>142875</xdr:rowOff>
              </to>
            </anchor>
          </controlPr>
        </control>
      </mc:Choice>
      <mc:Fallback>
        <control shapeId="3099" r:id="rId24" name="VarErr21"/>
      </mc:Fallback>
    </mc:AlternateContent>
    <mc:AlternateContent xmlns:mc="http://schemas.openxmlformats.org/markup-compatibility/2006">
      <mc:Choice Requires="x14">
        <control shapeId="3100" r:id="rId25" name="VarErr22">
          <controlPr defaultSize="0" autoLine="0" r:id="rId4">
            <anchor moveWithCells="1">
              <from>
                <xdr:col>2</xdr:col>
                <xdr:colOff>247650</xdr:colOff>
                <xdr:row>24</xdr:row>
                <xdr:rowOff>19050</xdr:rowOff>
              </from>
              <to>
                <xdr:col>2</xdr:col>
                <xdr:colOff>409575</xdr:colOff>
                <xdr:row>24</xdr:row>
                <xdr:rowOff>142875</xdr:rowOff>
              </to>
            </anchor>
          </controlPr>
        </control>
      </mc:Choice>
      <mc:Fallback>
        <control shapeId="3100" r:id="rId25" name="VarErr22"/>
      </mc:Fallback>
    </mc:AlternateContent>
    <mc:AlternateContent xmlns:mc="http://schemas.openxmlformats.org/markup-compatibility/2006">
      <mc:Choice Requires="x14">
        <control shapeId="3101" r:id="rId26" name="VarErr23">
          <controlPr defaultSize="0" autoLine="0" r:id="rId4">
            <anchor moveWithCells="1">
              <from>
                <xdr:col>2</xdr:col>
                <xdr:colOff>247650</xdr:colOff>
                <xdr:row>25</xdr:row>
                <xdr:rowOff>19050</xdr:rowOff>
              </from>
              <to>
                <xdr:col>2</xdr:col>
                <xdr:colOff>409575</xdr:colOff>
                <xdr:row>25</xdr:row>
                <xdr:rowOff>142875</xdr:rowOff>
              </to>
            </anchor>
          </controlPr>
        </control>
      </mc:Choice>
      <mc:Fallback>
        <control shapeId="3101" r:id="rId26" name="VarErr23"/>
      </mc:Fallback>
    </mc:AlternateContent>
    <mc:AlternateContent xmlns:mc="http://schemas.openxmlformats.org/markup-compatibility/2006">
      <mc:Choice Requires="x14">
        <control shapeId="3102" r:id="rId27" name="VarErr24">
          <controlPr defaultSize="0" autoLine="0" r:id="rId4">
            <anchor moveWithCells="1">
              <from>
                <xdr:col>2</xdr:col>
                <xdr:colOff>247650</xdr:colOff>
                <xdr:row>26</xdr:row>
                <xdr:rowOff>19050</xdr:rowOff>
              </from>
              <to>
                <xdr:col>2</xdr:col>
                <xdr:colOff>409575</xdr:colOff>
                <xdr:row>26</xdr:row>
                <xdr:rowOff>142875</xdr:rowOff>
              </to>
            </anchor>
          </controlPr>
        </control>
      </mc:Choice>
      <mc:Fallback>
        <control shapeId="3102" r:id="rId27" name="VarErr24"/>
      </mc:Fallback>
    </mc:AlternateContent>
    <mc:AlternateContent xmlns:mc="http://schemas.openxmlformats.org/markup-compatibility/2006">
      <mc:Choice Requires="x14">
        <control shapeId="3103" r:id="rId28" name="VarErr25">
          <controlPr defaultSize="0" autoLine="0" r:id="rId4">
            <anchor moveWithCells="1">
              <from>
                <xdr:col>2</xdr:col>
                <xdr:colOff>247650</xdr:colOff>
                <xdr:row>27</xdr:row>
                <xdr:rowOff>19050</xdr:rowOff>
              </from>
              <to>
                <xdr:col>2</xdr:col>
                <xdr:colOff>409575</xdr:colOff>
                <xdr:row>27</xdr:row>
                <xdr:rowOff>142875</xdr:rowOff>
              </to>
            </anchor>
          </controlPr>
        </control>
      </mc:Choice>
      <mc:Fallback>
        <control shapeId="3103" r:id="rId28" name="VarErr25"/>
      </mc:Fallback>
    </mc:AlternateContent>
    <mc:AlternateContent xmlns:mc="http://schemas.openxmlformats.org/markup-compatibility/2006">
      <mc:Choice Requires="x14">
        <control shapeId="3104" r:id="rId29" name="VarErr26">
          <controlPr defaultSize="0" autoLine="0" r:id="rId4">
            <anchor moveWithCells="1">
              <from>
                <xdr:col>2</xdr:col>
                <xdr:colOff>247650</xdr:colOff>
                <xdr:row>28</xdr:row>
                <xdr:rowOff>19050</xdr:rowOff>
              </from>
              <to>
                <xdr:col>2</xdr:col>
                <xdr:colOff>409575</xdr:colOff>
                <xdr:row>28</xdr:row>
                <xdr:rowOff>142875</xdr:rowOff>
              </to>
            </anchor>
          </controlPr>
        </control>
      </mc:Choice>
      <mc:Fallback>
        <control shapeId="3104" r:id="rId29" name="VarErr26"/>
      </mc:Fallback>
    </mc:AlternateContent>
    <mc:AlternateContent xmlns:mc="http://schemas.openxmlformats.org/markup-compatibility/2006">
      <mc:Choice Requires="x14">
        <control shapeId="3105" r:id="rId30" name="VarErr27">
          <controlPr defaultSize="0" autoLine="0" r:id="rId4">
            <anchor moveWithCells="1">
              <from>
                <xdr:col>2</xdr:col>
                <xdr:colOff>247650</xdr:colOff>
                <xdr:row>29</xdr:row>
                <xdr:rowOff>19050</xdr:rowOff>
              </from>
              <to>
                <xdr:col>2</xdr:col>
                <xdr:colOff>409575</xdr:colOff>
                <xdr:row>29</xdr:row>
                <xdr:rowOff>142875</xdr:rowOff>
              </to>
            </anchor>
          </controlPr>
        </control>
      </mc:Choice>
      <mc:Fallback>
        <control shapeId="3105" r:id="rId30" name="VarErr27"/>
      </mc:Fallback>
    </mc:AlternateContent>
    <mc:AlternateContent xmlns:mc="http://schemas.openxmlformats.org/markup-compatibility/2006">
      <mc:Choice Requires="x14">
        <control shapeId="3106" r:id="rId31" name="VarErr28">
          <controlPr defaultSize="0" autoLine="0" r:id="rId4">
            <anchor moveWithCells="1">
              <from>
                <xdr:col>2</xdr:col>
                <xdr:colOff>247650</xdr:colOff>
                <xdr:row>30</xdr:row>
                <xdr:rowOff>19050</xdr:rowOff>
              </from>
              <to>
                <xdr:col>2</xdr:col>
                <xdr:colOff>409575</xdr:colOff>
                <xdr:row>30</xdr:row>
                <xdr:rowOff>142875</xdr:rowOff>
              </to>
            </anchor>
          </controlPr>
        </control>
      </mc:Choice>
      <mc:Fallback>
        <control shapeId="3106" r:id="rId31" name="VarErr28"/>
      </mc:Fallback>
    </mc:AlternateContent>
    <mc:AlternateContent xmlns:mc="http://schemas.openxmlformats.org/markup-compatibility/2006">
      <mc:Choice Requires="x14">
        <control shapeId="3107" r:id="rId32" name="VarErr29">
          <controlPr defaultSize="0" autoLine="0" r:id="rId4">
            <anchor moveWithCells="1">
              <from>
                <xdr:col>2</xdr:col>
                <xdr:colOff>247650</xdr:colOff>
                <xdr:row>31</xdr:row>
                <xdr:rowOff>19050</xdr:rowOff>
              </from>
              <to>
                <xdr:col>2</xdr:col>
                <xdr:colOff>409575</xdr:colOff>
                <xdr:row>31</xdr:row>
                <xdr:rowOff>142875</xdr:rowOff>
              </to>
            </anchor>
          </controlPr>
        </control>
      </mc:Choice>
      <mc:Fallback>
        <control shapeId="3107" r:id="rId32" name="VarErr29"/>
      </mc:Fallback>
    </mc:AlternateContent>
    <mc:AlternateContent xmlns:mc="http://schemas.openxmlformats.org/markup-compatibility/2006">
      <mc:Choice Requires="x14">
        <control shapeId="3108" r:id="rId33" name="VarErr30">
          <controlPr defaultSize="0" autoLine="0" r:id="rId4">
            <anchor moveWithCells="1">
              <from>
                <xdr:col>2</xdr:col>
                <xdr:colOff>247650</xdr:colOff>
                <xdr:row>32</xdr:row>
                <xdr:rowOff>19050</xdr:rowOff>
              </from>
              <to>
                <xdr:col>2</xdr:col>
                <xdr:colOff>409575</xdr:colOff>
                <xdr:row>32</xdr:row>
                <xdr:rowOff>142875</xdr:rowOff>
              </to>
            </anchor>
          </controlPr>
        </control>
      </mc:Choice>
      <mc:Fallback>
        <control shapeId="3108" r:id="rId33" name="VarErr30"/>
      </mc:Fallback>
    </mc:AlternateContent>
    <mc:AlternateContent xmlns:mc="http://schemas.openxmlformats.org/markup-compatibility/2006">
      <mc:Choice Requires="x14">
        <control shapeId="3109" r:id="rId34" name="VarErr31">
          <controlPr defaultSize="0" autoLine="0" r:id="rId4">
            <anchor moveWithCells="1">
              <from>
                <xdr:col>2</xdr:col>
                <xdr:colOff>247650</xdr:colOff>
                <xdr:row>33</xdr:row>
                <xdr:rowOff>19050</xdr:rowOff>
              </from>
              <to>
                <xdr:col>2</xdr:col>
                <xdr:colOff>409575</xdr:colOff>
                <xdr:row>33</xdr:row>
                <xdr:rowOff>142875</xdr:rowOff>
              </to>
            </anchor>
          </controlPr>
        </control>
      </mc:Choice>
      <mc:Fallback>
        <control shapeId="3109" r:id="rId34" name="VarErr31"/>
      </mc:Fallback>
    </mc:AlternateContent>
    <mc:AlternateContent xmlns:mc="http://schemas.openxmlformats.org/markup-compatibility/2006">
      <mc:Choice Requires="x14">
        <control shapeId="3110" r:id="rId35" name="VarErr32">
          <controlPr defaultSize="0" autoLine="0" r:id="rId4">
            <anchor moveWithCells="1">
              <from>
                <xdr:col>2</xdr:col>
                <xdr:colOff>247650</xdr:colOff>
                <xdr:row>34</xdr:row>
                <xdr:rowOff>19050</xdr:rowOff>
              </from>
              <to>
                <xdr:col>2</xdr:col>
                <xdr:colOff>409575</xdr:colOff>
                <xdr:row>34</xdr:row>
                <xdr:rowOff>142875</xdr:rowOff>
              </to>
            </anchor>
          </controlPr>
        </control>
      </mc:Choice>
      <mc:Fallback>
        <control shapeId="3110" r:id="rId35" name="VarErr32"/>
      </mc:Fallback>
    </mc:AlternateContent>
    <mc:AlternateContent xmlns:mc="http://schemas.openxmlformats.org/markup-compatibility/2006">
      <mc:Choice Requires="x14">
        <control shapeId="3111" r:id="rId36" name="VarErr33">
          <controlPr defaultSize="0" autoLine="0" r:id="rId4">
            <anchor moveWithCells="1">
              <from>
                <xdr:col>2</xdr:col>
                <xdr:colOff>247650</xdr:colOff>
                <xdr:row>35</xdr:row>
                <xdr:rowOff>19050</xdr:rowOff>
              </from>
              <to>
                <xdr:col>2</xdr:col>
                <xdr:colOff>409575</xdr:colOff>
                <xdr:row>35</xdr:row>
                <xdr:rowOff>142875</xdr:rowOff>
              </to>
            </anchor>
          </controlPr>
        </control>
      </mc:Choice>
      <mc:Fallback>
        <control shapeId="3111" r:id="rId36" name="VarErr33"/>
      </mc:Fallback>
    </mc:AlternateContent>
    <mc:AlternateContent xmlns:mc="http://schemas.openxmlformats.org/markup-compatibility/2006">
      <mc:Choice Requires="x14">
        <control shapeId="3112" r:id="rId37" name="VarErr34">
          <controlPr defaultSize="0" autoLine="0" r:id="rId4">
            <anchor moveWithCells="1">
              <from>
                <xdr:col>2</xdr:col>
                <xdr:colOff>247650</xdr:colOff>
                <xdr:row>36</xdr:row>
                <xdr:rowOff>19050</xdr:rowOff>
              </from>
              <to>
                <xdr:col>2</xdr:col>
                <xdr:colOff>409575</xdr:colOff>
                <xdr:row>36</xdr:row>
                <xdr:rowOff>142875</xdr:rowOff>
              </to>
            </anchor>
          </controlPr>
        </control>
      </mc:Choice>
      <mc:Fallback>
        <control shapeId="3112" r:id="rId37" name="VarErr34"/>
      </mc:Fallback>
    </mc:AlternateContent>
    <mc:AlternateContent xmlns:mc="http://schemas.openxmlformats.org/markup-compatibility/2006">
      <mc:Choice Requires="x14">
        <control shapeId="3113" r:id="rId38" name="VarErr35">
          <controlPr defaultSize="0" autoLine="0" r:id="rId4">
            <anchor moveWithCells="1">
              <from>
                <xdr:col>2</xdr:col>
                <xdr:colOff>247650</xdr:colOff>
                <xdr:row>37</xdr:row>
                <xdr:rowOff>19050</xdr:rowOff>
              </from>
              <to>
                <xdr:col>2</xdr:col>
                <xdr:colOff>409575</xdr:colOff>
                <xdr:row>37</xdr:row>
                <xdr:rowOff>142875</xdr:rowOff>
              </to>
            </anchor>
          </controlPr>
        </control>
      </mc:Choice>
      <mc:Fallback>
        <control shapeId="3113" r:id="rId38" name="VarErr35"/>
      </mc:Fallback>
    </mc:AlternateContent>
    <mc:AlternateContent xmlns:mc="http://schemas.openxmlformats.org/markup-compatibility/2006">
      <mc:Choice Requires="x14">
        <control shapeId="3114" r:id="rId39" name="VarErr36">
          <controlPr defaultSize="0" autoLine="0" r:id="rId4">
            <anchor moveWithCells="1">
              <from>
                <xdr:col>2</xdr:col>
                <xdr:colOff>247650</xdr:colOff>
                <xdr:row>38</xdr:row>
                <xdr:rowOff>19050</xdr:rowOff>
              </from>
              <to>
                <xdr:col>2</xdr:col>
                <xdr:colOff>409575</xdr:colOff>
                <xdr:row>38</xdr:row>
                <xdr:rowOff>142875</xdr:rowOff>
              </to>
            </anchor>
          </controlPr>
        </control>
      </mc:Choice>
      <mc:Fallback>
        <control shapeId="3114" r:id="rId39" name="VarErr36"/>
      </mc:Fallback>
    </mc:AlternateContent>
    <mc:AlternateContent xmlns:mc="http://schemas.openxmlformats.org/markup-compatibility/2006">
      <mc:Choice Requires="x14">
        <control shapeId="3115" r:id="rId40" name="VarErr37">
          <controlPr defaultSize="0" autoLine="0" r:id="rId4">
            <anchor moveWithCells="1">
              <from>
                <xdr:col>2</xdr:col>
                <xdr:colOff>247650</xdr:colOff>
                <xdr:row>39</xdr:row>
                <xdr:rowOff>19050</xdr:rowOff>
              </from>
              <to>
                <xdr:col>2</xdr:col>
                <xdr:colOff>409575</xdr:colOff>
                <xdr:row>39</xdr:row>
                <xdr:rowOff>142875</xdr:rowOff>
              </to>
            </anchor>
          </controlPr>
        </control>
      </mc:Choice>
      <mc:Fallback>
        <control shapeId="3115" r:id="rId40" name="VarErr37"/>
      </mc:Fallback>
    </mc:AlternateContent>
    <mc:AlternateContent xmlns:mc="http://schemas.openxmlformats.org/markup-compatibility/2006">
      <mc:Choice Requires="x14">
        <control shapeId="3116" r:id="rId41" name="VarErr38">
          <controlPr defaultSize="0" autoLine="0" r:id="rId4">
            <anchor moveWithCells="1">
              <from>
                <xdr:col>2</xdr:col>
                <xdr:colOff>247650</xdr:colOff>
                <xdr:row>40</xdr:row>
                <xdr:rowOff>19050</xdr:rowOff>
              </from>
              <to>
                <xdr:col>2</xdr:col>
                <xdr:colOff>409575</xdr:colOff>
                <xdr:row>40</xdr:row>
                <xdr:rowOff>142875</xdr:rowOff>
              </to>
            </anchor>
          </controlPr>
        </control>
      </mc:Choice>
      <mc:Fallback>
        <control shapeId="3116" r:id="rId41" name="VarErr38"/>
      </mc:Fallback>
    </mc:AlternateContent>
    <mc:AlternateContent xmlns:mc="http://schemas.openxmlformats.org/markup-compatibility/2006">
      <mc:Choice Requires="x14">
        <control shapeId="3117" r:id="rId42" name="VarErr39">
          <controlPr defaultSize="0" autoLine="0" r:id="rId4">
            <anchor moveWithCells="1">
              <from>
                <xdr:col>2</xdr:col>
                <xdr:colOff>247650</xdr:colOff>
                <xdr:row>41</xdr:row>
                <xdr:rowOff>19050</xdr:rowOff>
              </from>
              <to>
                <xdr:col>2</xdr:col>
                <xdr:colOff>409575</xdr:colOff>
                <xdr:row>41</xdr:row>
                <xdr:rowOff>142875</xdr:rowOff>
              </to>
            </anchor>
          </controlPr>
        </control>
      </mc:Choice>
      <mc:Fallback>
        <control shapeId="3117" r:id="rId42" name="VarErr39"/>
      </mc:Fallback>
    </mc:AlternateContent>
    <mc:AlternateContent xmlns:mc="http://schemas.openxmlformats.org/markup-compatibility/2006">
      <mc:Choice Requires="x14">
        <control shapeId="3118" r:id="rId43" name="VarErr40">
          <controlPr defaultSize="0" autoLine="0" r:id="rId4">
            <anchor moveWithCells="1">
              <from>
                <xdr:col>2</xdr:col>
                <xdr:colOff>247650</xdr:colOff>
                <xdr:row>42</xdr:row>
                <xdr:rowOff>19050</xdr:rowOff>
              </from>
              <to>
                <xdr:col>2</xdr:col>
                <xdr:colOff>409575</xdr:colOff>
                <xdr:row>42</xdr:row>
                <xdr:rowOff>142875</xdr:rowOff>
              </to>
            </anchor>
          </controlPr>
        </control>
      </mc:Choice>
      <mc:Fallback>
        <control shapeId="3118" r:id="rId43" name="VarErr40"/>
      </mc:Fallback>
    </mc:AlternateContent>
    <mc:AlternateContent xmlns:mc="http://schemas.openxmlformats.org/markup-compatibility/2006">
      <mc:Choice Requires="x14">
        <control shapeId="3119" r:id="rId44" name="VarErr41">
          <controlPr defaultSize="0" autoLine="0" r:id="rId4">
            <anchor moveWithCells="1">
              <from>
                <xdr:col>2</xdr:col>
                <xdr:colOff>247650</xdr:colOff>
                <xdr:row>43</xdr:row>
                <xdr:rowOff>19050</xdr:rowOff>
              </from>
              <to>
                <xdr:col>2</xdr:col>
                <xdr:colOff>409575</xdr:colOff>
                <xdr:row>43</xdr:row>
                <xdr:rowOff>142875</xdr:rowOff>
              </to>
            </anchor>
          </controlPr>
        </control>
      </mc:Choice>
      <mc:Fallback>
        <control shapeId="3119" r:id="rId44" name="VarErr41"/>
      </mc:Fallback>
    </mc:AlternateContent>
    <mc:AlternateContent xmlns:mc="http://schemas.openxmlformats.org/markup-compatibility/2006">
      <mc:Choice Requires="x14">
        <control shapeId="3120" r:id="rId45" name="VarErr42">
          <controlPr defaultSize="0" autoLine="0" r:id="rId4">
            <anchor moveWithCells="1">
              <from>
                <xdr:col>2</xdr:col>
                <xdr:colOff>247650</xdr:colOff>
                <xdr:row>44</xdr:row>
                <xdr:rowOff>19050</xdr:rowOff>
              </from>
              <to>
                <xdr:col>2</xdr:col>
                <xdr:colOff>409575</xdr:colOff>
                <xdr:row>44</xdr:row>
                <xdr:rowOff>142875</xdr:rowOff>
              </to>
            </anchor>
          </controlPr>
        </control>
      </mc:Choice>
      <mc:Fallback>
        <control shapeId="3120" r:id="rId45" name="VarErr42"/>
      </mc:Fallback>
    </mc:AlternateContent>
    <mc:AlternateContent xmlns:mc="http://schemas.openxmlformats.org/markup-compatibility/2006">
      <mc:Choice Requires="x14">
        <control shapeId="3121" r:id="rId46" name="VarErr43">
          <controlPr defaultSize="0" autoLine="0" r:id="rId4">
            <anchor moveWithCells="1">
              <from>
                <xdr:col>2</xdr:col>
                <xdr:colOff>247650</xdr:colOff>
                <xdr:row>45</xdr:row>
                <xdr:rowOff>19050</xdr:rowOff>
              </from>
              <to>
                <xdr:col>2</xdr:col>
                <xdr:colOff>409575</xdr:colOff>
                <xdr:row>45</xdr:row>
                <xdr:rowOff>142875</xdr:rowOff>
              </to>
            </anchor>
          </controlPr>
        </control>
      </mc:Choice>
      <mc:Fallback>
        <control shapeId="3121" r:id="rId46" name="VarErr43"/>
      </mc:Fallback>
    </mc:AlternateContent>
    <mc:AlternateContent xmlns:mc="http://schemas.openxmlformats.org/markup-compatibility/2006">
      <mc:Choice Requires="x14">
        <control shapeId="3122" r:id="rId47" name="VarErr44">
          <controlPr defaultSize="0" autoLine="0" r:id="rId4">
            <anchor moveWithCells="1">
              <from>
                <xdr:col>2</xdr:col>
                <xdr:colOff>247650</xdr:colOff>
                <xdr:row>46</xdr:row>
                <xdr:rowOff>19050</xdr:rowOff>
              </from>
              <to>
                <xdr:col>2</xdr:col>
                <xdr:colOff>409575</xdr:colOff>
                <xdr:row>46</xdr:row>
                <xdr:rowOff>142875</xdr:rowOff>
              </to>
            </anchor>
          </controlPr>
        </control>
      </mc:Choice>
      <mc:Fallback>
        <control shapeId="3122" r:id="rId47" name="VarErr44"/>
      </mc:Fallback>
    </mc:AlternateContent>
    <mc:AlternateContent xmlns:mc="http://schemas.openxmlformats.org/markup-compatibility/2006">
      <mc:Choice Requires="x14">
        <control shapeId="3123" r:id="rId48" name="VarErr45">
          <controlPr defaultSize="0" autoLine="0" r:id="rId4">
            <anchor moveWithCells="1">
              <from>
                <xdr:col>2</xdr:col>
                <xdr:colOff>247650</xdr:colOff>
                <xdr:row>47</xdr:row>
                <xdr:rowOff>19050</xdr:rowOff>
              </from>
              <to>
                <xdr:col>2</xdr:col>
                <xdr:colOff>409575</xdr:colOff>
                <xdr:row>47</xdr:row>
                <xdr:rowOff>142875</xdr:rowOff>
              </to>
            </anchor>
          </controlPr>
        </control>
      </mc:Choice>
      <mc:Fallback>
        <control shapeId="3123" r:id="rId48" name="VarErr45"/>
      </mc:Fallback>
    </mc:AlternateContent>
    <mc:AlternateContent xmlns:mc="http://schemas.openxmlformats.org/markup-compatibility/2006">
      <mc:Choice Requires="x14">
        <control shapeId="3124" r:id="rId49" name="VarErr46">
          <controlPr defaultSize="0" autoLine="0" r:id="rId4">
            <anchor moveWithCells="1">
              <from>
                <xdr:col>2</xdr:col>
                <xdr:colOff>247650</xdr:colOff>
                <xdr:row>48</xdr:row>
                <xdr:rowOff>19050</xdr:rowOff>
              </from>
              <to>
                <xdr:col>2</xdr:col>
                <xdr:colOff>409575</xdr:colOff>
                <xdr:row>48</xdr:row>
                <xdr:rowOff>142875</xdr:rowOff>
              </to>
            </anchor>
          </controlPr>
        </control>
      </mc:Choice>
      <mc:Fallback>
        <control shapeId="3124" r:id="rId49" name="VarErr46"/>
      </mc:Fallback>
    </mc:AlternateContent>
    <mc:AlternateContent xmlns:mc="http://schemas.openxmlformats.org/markup-compatibility/2006">
      <mc:Choice Requires="x14">
        <control shapeId="3125" r:id="rId50" name="VarErr47">
          <controlPr defaultSize="0" autoLine="0" r:id="rId4">
            <anchor moveWithCells="1">
              <from>
                <xdr:col>2</xdr:col>
                <xdr:colOff>247650</xdr:colOff>
                <xdr:row>49</xdr:row>
                <xdr:rowOff>19050</xdr:rowOff>
              </from>
              <to>
                <xdr:col>2</xdr:col>
                <xdr:colOff>409575</xdr:colOff>
                <xdr:row>49</xdr:row>
                <xdr:rowOff>142875</xdr:rowOff>
              </to>
            </anchor>
          </controlPr>
        </control>
      </mc:Choice>
      <mc:Fallback>
        <control shapeId="3125" r:id="rId50" name="VarErr47"/>
      </mc:Fallback>
    </mc:AlternateContent>
    <mc:AlternateContent xmlns:mc="http://schemas.openxmlformats.org/markup-compatibility/2006">
      <mc:Choice Requires="x14">
        <control shapeId="3126" r:id="rId51" name="VarErr48">
          <controlPr defaultSize="0" autoLine="0" r:id="rId4">
            <anchor moveWithCells="1">
              <from>
                <xdr:col>2</xdr:col>
                <xdr:colOff>247650</xdr:colOff>
                <xdr:row>50</xdr:row>
                <xdr:rowOff>19050</xdr:rowOff>
              </from>
              <to>
                <xdr:col>2</xdr:col>
                <xdr:colOff>409575</xdr:colOff>
                <xdr:row>50</xdr:row>
                <xdr:rowOff>142875</xdr:rowOff>
              </to>
            </anchor>
          </controlPr>
        </control>
      </mc:Choice>
      <mc:Fallback>
        <control shapeId="3126" r:id="rId51" name="VarErr48"/>
      </mc:Fallback>
    </mc:AlternateContent>
    <mc:AlternateContent xmlns:mc="http://schemas.openxmlformats.org/markup-compatibility/2006">
      <mc:Choice Requires="x14">
        <control shapeId="3127" r:id="rId52" name="VarErr49">
          <controlPr defaultSize="0" autoLine="0" r:id="rId4">
            <anchor moveWithCells="1">
              <from>
                <xdr:col>2</xdr:col>
                <xdr:colOff>247650</xdr:colOff>
                <xdr:row>51</xdr:row>
                <xdr:rowOff>19050</xdr:rowOff>
              </from>
              <to>
                <xdr:col>2</xdr:col>
                <xdr:colOff>409575</xdr:colOff>
                <xdr:row>51</xdr:row>
                <xdr:rowOff>142875</xdr:rowOff>
              </to>
            </anchor>
          </controlPr>
        </control>
      </mc:Choice>
      <mc:Fallback>
        <control shapeId="3127" r:id="rId52" name="VarErr49"/>
      </mc:Fallback>
    </mc:AlternateContent>
    <mc:AlternateContent xmlns:mc="http://schemas.openxmlformats.org/markup-compatibility/2006">
      <mc:Choice Requires="x14">
        <control shapeId="3128" r:id="rId53" name="VarErr50">
          <controlPr defaultSize="0" autoLine="0" r:id="rId4">
            <anchor moveWithCells="1">
              <from>
                <xdr:col>2</xdr:col>
                <xdr:colOff>247650</xdr:colOff>
                <xdr:row>52</xdr:row>
                <xdr:rowOff>19050</xdr:rowOff>
              </from>
              <to>
                <xdr:col>2</xdr:col>
                <xdr:colOff>409575</xdr:colOff>
                <xdr:row>52</xdr:row>
                <xdr:rowOff>142875</xdr:rowOff>
              </to>
            </anchor>
          </controlPr>
        </control>
      </mc:Choice>
      <mc:Fallback>
        <control shapeId="3128" r:id="rId53" name="VarErr50"/>
      </mc:Fallback>
    </mc:AlternateContent>
    <mc:AlternateContent xmlns:mc="http://schemas.openxmlformats.org/markup-compatibility/2006">
      <mc:Choice Requires="x14">
        <control shapeId="3129" r:id="rId54" name="VarErr51">
          <controlPr defaultSize="0" autoLine="0" r:id="rId4">
            <anchor moveWithCells="1">
              <from>
                <xdr:col>2</xdr:col>
                <xdr:colOff>247650</xdr:colOff>
                <xdr:row>53</xdr:row>
                <xdr:rowOff>19050</xdr:rowOff>
              </from>
              <to>
                <xdr:col>2</xdr:col>
                <xdr:colOff>409575</xdr:colOff>
                <xdr:row>53</xdr:row>
                <xdr:rowOff>142875</xdr:rowOff>
              </to>
            </anchor>
          </controlPr>
        </control>
      </mc:Choice>
      <mc:Fallback>
        <control shapeId="3129" r:id="rId54" name="VarErr51"/>
      </mc:Fallback>
    </mc:AlternateContent>
    <mc:AlternateContent xmlns:mc="http://schemas.openxmlformats.org/markup-compatibility/2006">
      <mc:Choice Requires="x14">
        <control shapeId="3130" r:id="rId55" name="VarErr52">
          <controlPr defaultSize="0" autoLine="0" r:id="rId4">
            <anchor moveWithCells="1">
              <from>
                <xdr:col>2</xdr:col>
                <xdr:colOff>247650</xdr:colOff>
                <xdr:row>54</xdr:row>
                <xdr:rowOff>19050</xdr:rowOff>
              </from>
              <to>
                <xdr:col>2</xdr:col>
                <xdr:colOff>409575</xdr:colOff>
                <xdr:row>54</xdr:row>
                <xdr:rowOff>142875</xdr:rowOff>
              </to>
            </anchor>
          </controlPr>
        </control>
      </mc:Choice>
      <mc:Fallback>
        <control shapeId="3130" r:id="rId55" name="VarErr52"/>
      </mc:Fallback>
    </mc:AlternateContent>
    <mc:AlternateContent xmlns:mc="http://schemas.openxmlformats.org/markup-compatibility/2006">
      <mc:Choice Requires="x14">
        <control shapeId="3131" r:id="rId56" name="VarErr53">
          <controlPr defaultSize="0" autoLine="0" r:id="rId4">
            <anchor moveWithCells="1">
              <from>
                <xdr:col>2</xdr:col>
                <xdr:colOff>247650</xdr:colOff>
                <xdr:row>55</xdr:row>
                <xdr:rowOff>19050</xdr:rowOff>
              </from>
              <to>
                <xdr:col>2</xdr:col>
                <xdr:colOff>409575</xdr:colOff>
                <xdr:row>55</xdr:row>
                <xdr:rowOff>142875</xdr:rowOff>
              </to>
            </anchor>
          </controlPr>
        </control>
      </mc:Choice>
      <mc:Fallback>
        <control shapeId="3131" r:id="rId56" name="VarErr53"/>
      </mc:Fallback>
    </mc:AlternateContent>
    <mc:AlternateContent xmlns:mc="http://schemas.openxmlformats.org/markup-compatibility/2006">
      <mc:Choice Requires="x14">
        <control shapeId="3132" r:id="rId57" name="VarErr54">
          <controlPr defaultSize="0" autoLine="0" r:id="rId4">
            <anchor moveWithCells="1">
              <from>
                <xdr:col>2</xdr:col>
                <xdr:colOff>247650</xdr:colOff>
                <xdr:row>56</xdr:row>
                <xdr:rowOff>19050</xdr:rowOff>
              </from>
              <to>
                <xdr:col>2</xdr:col>
                <xdr:colOff>409575</xdr:colOff>
                <xdr:row>56</xdr:row>
                <xdr:rowOff>142875</xdr:rowOff>
              </to>
            </anchor>
          </controlPr>
        </control>
      </mc:Choice>
      <mc:Fallback>
        <control shapeId="3132" r:id="rId57" name="VarErr54"/>
      </mc:Fallback>
    </mc:AlternateContent>
    <mc:AlternateContent xmlns:mc="http://schemas.openxmlformats.org/markup-compatibility/2006">
      <mc:Choice Requires="x14">
        <control shapeId="3133" r:id="rId58" name="VarErr55">
          <controlPr defaultSize="0" autoLine="0" r:id="rId4">
            <anchor moveWithCells="1">
              <from>
                <xdr:col>2</xdr:col>
                <xdr:colOff>247650</xdr:colOff>
                <xdr:row>57</xdr:row>
                <xdr:rowOff>19050</xdr:rowOff>
              </from>
              <to>
                <xdr:col>2</xdr:col>
                <xdr:colOff>409575</xdr:colOff>
                <xdr:row>57</xdr:row>
                <xdr:rowOff>142875</xdr:rowOff>
              </to>
            </anchor>
          </controlPr>
        </control>
      </mc:Choice>
      <mc:Fallback>
        <control shapeId="3133" r:id="rId58" name="VarErr55"/>
      </mc:Fallback>
    </mc:AlternateContent>
    <mc:AlternateContent xmlns:mc="http://schemas.openxmlformats.org/markup-compatibility/2006">
      <mc:Choice Requires="x14">
        <control shapeId="3134" r:id="rId59" name="VarErr56">
          <controlPr defaultSize="0" autoLine="0" r:id="rId4">
            <anchor moveWithCells="1">
              <from>
                <xdr:col>2</xdr:col>
                <xdr:colOff>247650</xdr:colOff>
                <xdr:row>58</xdr:row>
                <xdr:rowOff>19050</xdr:rowOff>
              </from>
              <to>
                <xdr:col>2</xdr:col>
                <xdr:colOff>409575</xdr:colOff>
                <xdr:row>58</xdr:row>
                <xdr:rowOff>142875</xdr:rowOff>
              </to>
            </anchor>
          </controlPr>
        </control>
      </mc:Choice>
      <mc:Fallback>
        <control shapeId="3134" r:id="rId59" name="VarErr56"/>
      </mc:Fallback>
    </mc:AlternateContent>
    <mc:AlternateContent xmlns:mc="http://schemas.openxmlformats.org/markup-compatibility/2006">
      <mc:Choice Requires="x14">
        <control shapeId="3135" r:id="rId60" name="VarErr57">
          <controlPr defaultSize="0" autoLine="0" r:id="rId4">
            <anchor moveWithCells="1">
              <from>
                <xdr:col>2</xdr:col>
                <xdr:colOff>247650</xdr:colOff>
                <xdr:row>59</xdr:row>
                <xdr:rowOff>19050</xdr:rowOff>
              </from>
              <to>
                <xdr:col>2</xdr:col>
                <xdr:colOff>409575</xdr:colOff>
                <xdr:row>59</xdr:row>
                <xdr:rowOff>142875</xdr:rowOff>
              </to>
            </anchor>
          </controlPr>
        </control>
      </mc:Choice>
      <mc:Fallback>
        <control shapeId="3135" r:id="rId60" name="VarErr57"/>
      </mc:Fallback>
    </mc:AlternateContent>
    <mc:AlternateContent xmlns:mc="http://schemas.openxmlformats.org/markup-compatibility/2006">
      <mc:Choice Requires="x14">
        <control shapeId="3136" r:id="rId61" name="VarErr58">
          <controlPr defaultSize="0" autoLine="0" r:id="rId4">
            <anchor moveWithCells="1">
              <from>
                <xdr:col>2</xdr:col>
                <xdr:colOff>247650</xdr:colOff>
                <xdr:row>60</xdr:row>
                <xdr:rowOff>19050</xdr:rowOff>
              </from>
              <to>
                <xdr:col>2</xdr:col>
                <xdr:colOff>409575</xdr:colOff>
                <xdr:row>60</xdr:row>
                <xdr:rowOff>142875</xdr:rowOff>
              </to>
            </anchor>
          </controlPr>
        </control>
      </mc:Choice>
      <mc:Fallback>
        <control shapeId="3136" r:id="rId61" name="VarErr58"/>
      </mc:Fallback>
    </mc:AlternateContent>
    <mc:AlternateContent xmlns:mc="http://schemas.openxmlformats.org/markup-compatibility/2006">
      <mc:Choice Requires="x14">
        <control shapeId="3137" r:id="rId62" name="VarErr59">
          <controlPr defaultSize="0" autoLine="0" r:id="rId4">
            <anchor moveWithCells="1">
              <from>
                <xdr:col>2</xdr:col>
                <xdr:colOff>247650</xdr:colOff>
                <xdr:row>61</xdr:row>
                <xdr:rowOff>19050</xdr:rowOff>
              </from>
              <to>
                <xdr:col>2</xdr:col>
                <xdr:colOff>409575</xdr:colOff>
                <xdr:row>61</xdr:row>
                <xdr:rowOff>142875</xdr:rowOff>
              </to>
            </anchor>
          </controlPr>
        </control>
      </mc:Choice>
      <mc:Fallback>
        <control shapeId="3137" r:id="rId62" name="VarErr59"/>
      </mc:Fallback>
    </mc:AlternateContent>
    <mc:AlternateContent xmlns:mc="http://schemas.openxmlformats.org/markup-compatibility/2006">
      <mc:Choice Requires="x14">
        <control shapeId="3138" r:id="rId63" name="VarErr60">
          <controlPr defaultSize="0" autoLine="0" r:id="rId4">
            <anchor moveWithCells="1">
              <from>
                <xdr:col>2</xdr:col>
                <xdr:colOff>247650</xdr:colOff>
                <xdr:row>62</xdr:row>
                <xdr:rowOff>19050</xdr:rowOff>
              </from>
              <to>
                <xdr:col>2</xdr:col>
                <xdr:colOff>409575</xdr:colOff>
                <xdr:row>62</xdr:row>
                <xdr:rowOff>142875</xdr:rowOff>
              </to>
            </anchor>
          </controlPr>
        </control>
      </mc:Choice>
      <mc:Fallback>
        <control shapeId="3138" r:id="rId63" name="VarErr60"/>
      </mc:Fallback>
    </mc:AlternateContent>
    <mc:AlternateContent xmlns:mc="http://schemas.openxmlformats.org/markup-compatibility/2006">
      <mc:Choice Requires="x14">
        <control shapeId="3139" r:id="rId64" name="VarErr61">
          <controlPr defaultSize="0" autoLine="0" r:id="rId4">
            <anchor moveWithCells="1">
              <from>
                <xdr:col>2</xdr:col>
                <xdr:colOff>247650</xdr:colOff>
                <xdr:row>63</xdr:row>
                <xdr:rowOff>19050</xdr:rowOff>
              </from>
              <to>
                <xdr:col>2</xdr:col>
                <xdr:colOff>409575</xdr:colOff>
                <xdr:row>63</xdr:row>
                <xdr:rowOff>142875</xdr:rowOff>
              </to>
            </anchor>
          </controlPr>
        </control>
      </mc:Choice>
      <mc:Fallback>
        <control shapeId="3139" r:id="rId64" name="VarErr61"/>
      </mc:Fallback>
    </mc:AlternateContent>
    <mc:AlternateContent xmlns:mc="http://schemas.openxmlformats.org/markup-compatibility/2006">
      <mc:Choice Requires="x14">
        <control shapeId="3140" r:id="rId65" name="VarErr62">
          <controlPr defaultSize="0" autoLine="0" r:id="rId4">
            <anchor moveWithCells="1">
              <from>
                <xdr:col>2</xdr:col>
                <xdr:colOff>247650</xdr:colOff>
                <xdr:row>64</xdr:row>
                <xdr:rowOff>19050</xdr:rowOff>
              </from>
              <to>
                <xdr:col>2</xdr:col>
                <xdr:colOff>409575</xdr:colOff>
                <xdr:row>64</xdr:row>
                <xdr:rowOff>142875</xdr:rowOff>
              </to>
            </anchor>
          </controlPr>
        </control>
      </mc:Choice>
      <mc:Fallback>
        <control shapeId="3140" r:id="rId65" name="VarErr62"/>
      </mc:Fallback>
    </mc:AlternateContent>
    <mc:AlternateContent xmlns:mc="http://schemas.openxmlformats.org/markup-compatibility/2006">
      <mc:Choice Requires="x14">
        <control shapeId="3141" r:id="rId66" name="VarErr63">
          <controlPr defaultSize="0" autoLine="0" r:id="rId4">
            <anchor moveWithCells="1">
              <from>
                <xdr:col>2</xdr:col>
                <xdr:colOff>247650</xdr:colOff>
                <xdr:row>65</xdr:row>
                <xdr:rowOff>19050</xdr:rowOff>
              </from>
              <to>
                <xdr:col>2</xdr:col>
                <xdr:colOff>409575</xdr:colOff>
                <xdr:row>65</xdr:row>
                <xdr:rowOff>142875</xdr:rowOff>
              </to>
            </anchor>
          </controlPr>
        </control>
      </mc:Choice>
      <mc:Fallback>
        <control shapeId="3141" r:id="rId66" name="VarErr63"/>
      </mc:Fallback>
    </mc:AlternateContent>
    <mc:AlternateContent xmlns:mc="http://schemas.openxmlformats.org/markup-compatibility/2006">
      <mc:Choice Requires="x14">
        <control shapeId="3142" r:id="rId67" name="VarErr64">
          <controlPr defaultSize="0" autoLine="0" r:id="rId4">
            <anchor moveWithCells="1">
              <from>
                <xdr:col>2</xdr:col>
                <xdr:colOff>247650</xdr:colOff>
                <xdr:row>66</xdr:row>
                <xdr:rowOff>19050</xdr:rowOff>
              </from>
              <to>
                <xdr:col>2</xdr:col>
                <xdr:colOff>409575</xdr:colOff>
                <xdr:row>66</xdr:row>
                <xdr:rowOff>142875</xdr:rowOff>
              </to>
            </anchor>
          </controlPr>
        </control>
      </mc:Choice>
      <mc:Fallback>
        <control shapeId="3142" r:id="rId67" name="VarErr64"/>
      </mc:Fallback>
    </mc:AlternateContent>
    <mc:AlternateContent xmlns:mc="http://schemas.openxmlformats.org/markup-compatibility/2006">
      <mc:Choice Requires="x14">
        <control shapeId="3143" r:id="rId68" name="VarErr65">
          <controlPr defaultSize="0" autoLine="0" r:id="rId4">
            <anchor moveWithCells="1">
              <from>
                <xdr:col>2</xdr:col>
                <xdr:colOff>247650</xdr:colOff>
                <xdr:row>67</xdr:row>
                <xdr:rowOff>19050</xdr:rowOff>
              </from>
              <to>
                <xdr:col>2</xdr:col>
                <xdr:colOff>409575</xdr:colOff>
                <xdr:row>67</xdr:row>
                <xdr:rowOff>142875</xdr:rowOff>
              </to>
            </anchor>
          </controlPr>
        </control>
      </mc:Choice>
      <mc:Fallback>
        <control shapeId="3143" r:id="rId68" name="VarErr65"/>
      </mc:Fallback>
    </mc:AlternateContent>
    <mc:AlternateContent xmlns:mc="http://schemas.openxmlformats.org/markup-compatibility/2006">
      <mc:Choice Requires="x14">
        <control shapeId="3144" r:id="rId69" name="VarErr66">
          <controlPr defaultSize="0" autoLine="0" r:id="rId4">
            <anchor moveWithCells="1">
              <from>
                <xdr:col>2</xdr:col>
                <xdr:colOff>247650</xdr:colOff>
                <xdr:row>68</xdr:row>
                <xdr:rowOff>19050</xdr:rowOff>
              </from>
              <to>
                <xdr:col>2</xdr:col>
                <xdr:colOff>409575</xdr:colOff>
                <xdr:row>68</xdr:row>
                <xdr:rowOff>142875</xdr:rowOff>
              </to>
            </anchor>
          </controlPr>
        </control>
      </mc:Choice>
      <mc:Fallback>
        <control shapeId="3144" r:id="rId69" name="VarErr66"/>
      </mc:Fallback>
    </mc:AlternateContent>
    <mc:AlternateContent xmlns:mc="http://schemas.openxmlformats.org/markup-compatibility/2006">
      <mc:Choice Requires="x14">
        <control shapeId="3145" r:id="rId70" name="VarErr67">
          <controlPr defaultSize="0" autoLine="0" r:id="rId4">
            <anchor moveWithCells="1">
              <from>
                <xdr:col>2</xdr:col>
                <xdr:colOff>247650</xdr:colOff>
                <xdr:row>69</xdr:row>
                <xdr:rowOff>19050</xdr:rowOff>
              </from>
              <to>
                <xdr:col>2</xdr:col>
                <xdr:colOff>409575</xdr:colOff>
                <xdr:row>69</xdr:row>
                <xdr:rowOff>142875</xdr:rowOff>
              </to>
            </anchor>
          </controlPr>
        </control>
      </mc:Choice>
      <mc:Fallback>
        <control shapeId="3145" r:id="rId70" name="VarErr67"/>
      </mc:Fallback>
    </mc:AlternateContent>
    <mc:AlternateContent xmlns:mc="http://schemas.openxmlformats.org/markup-compatibility/2006">
      <mc:Choice Requires="x14">
        <control shapeId="3146" r:id="rId71" name="VarErr68">
          <controlPr defaultSize="0" autoLine="0" r:id="rId4">
            <anchor moveWithCells="1">
              <from>
                <xdr:col>2</xdr:col>
                <xdr:colOff>247650</xdr:colOff>
                <xdr:row>70</xdr:row>
                <xdr:rowOff>19050</xdr:rowOff>
              </from>
              <to>
                <xdr:col>2</xdr:col>
                <xdr:colOff>409575</xdr:colOff>
                <xdr:row>70</xdr:row>
                <xdr:rowOff>142875</xdr:rowOff>
              </to>
            </anchor>
          </controlPr>
        </control>
      </mc:Choice>
      <mc:Fallback>
        <control shapeId="3146" r:id="rId71" name="VarErr68"/>
      </mc:Fallback>
    </mc:AlternateContent>
    <mc:AlternateContent xmlns:mc="http://schemas.openxmlformats.org/markup-compatibility/2006">
      <mc:Choice Requires="x14">
        <control shapeId="3147" r:id="rId72" name="VarErr69">
          <controlPr defaultSize="0" autoLine="0" r:id="rId4">
            <anchor moveWithCells="1">
              <from>
                <xdr:col>2</xdr:col>
                <xdr:colOff>247650</xdr:colOff>
                <xdr:row>71</xdr:row>
                <xdr:rowOff>19050</xdr:rowOff>
              </from>
              <to>
                <xdr:col>2</xdr:col>
                <xdr:colOff>409575</xdr:colOff>
                <xdr:row>71</xdr:row>
                <xdr:rowOff>142875</xdr:rowOff>
              </to>
            </anchor>
          </controlPr>
        </control>
      </mc:Choice>
      <mc:Fallback>
        <control shapeId="3147" r:id="rId72" name="VarErr69"/>
      </mc:Fallback>
    </mc:AlternateContent>
    <mc:AlternateContent xmlns:mc="http://schemas.openxmlformats.org/markup-compatibility/2006">
      <mc:Choice Requires="x14">
        <control shapeId="3148" r:id="rId73" name="VarErr70">
          <controlPr defaultSize="0" autoLine="0" r:id="rId4">
            <anchor moveWithCells="1">
              <from>
                <xdr:col>2</xdr:col>
                <xdr:colOff>247650</xdr:colOff>
                <xdr:row>72</xdr:row>
                <xdr:rowOff>19050</xdr:rowOff>
              </from>
              <to>
                <xdr:col>2</xdr:col>
                <xdr:colOff>409575</xdr:colOff>
                <xdr:row>72</xdr:row>
                <xdr:rowOff>142875</xdr:rowOff>
              </to>
            </anchor>
          </controlPr>
        </control>
      </mc:Choice>
      <mc:Fallback>
        <control shapeId="3148" r:id="rId73" name="VarErr70"/>
      </mc:Fallback>
    </mc:AlternateContent>
    <mc:AlternateContent xmlns:mc="http://schemas.openxmlformats.org/markup-compatibility/2006">
      <mc:Choice Requires="x14">
        <control shapeId="3149" r:id="rId74" name="VarErr71">
          <controlPr defaultSize="0" autoLine="0" r:id="rId4">
            <anchor moveWithCells="1">
              <from>
                <xdr:col>2</xdr:col>
                <xdr:colOff>247650</xdr:colOff>
                <xdr:row>73</xdr:row>
                <xdr:rowOff>19050</xdr:rowOff>
              </from>
              <to>
                <xdr:col>2</xdr:col>
                <xdr:colOff>409575</xdr:colOff>
                <xdr:row>73</xdr:row>
                <xdr:rowOff>142875</xdr:rowOff>
              </to>
            </anchor>
          </controlPr>
        </control>
      </mc:Choice>
      <mc:Fallback>
        <control shapeId="3149" r:id="rId74" name="VarErr71"/>
      </mc:Fallback>
    </mc:AlternateContent>
    <mc:AlternateContent xmlns:mc="http://schemas.openxmlformats.org/markup-compatibility/2006">
      <mc:Choice Requires="x14">
        <control shapeId="3150" r:id="rId75" name="VarErr72">
          <controlPr defaultSize="0" autoLine="0" r:id="rId4">
            <anchor moveWithCells="1">
              <from>
                <xdr:col>2</xdr:col>
                <xdr:colOff>247650</xdr:colOff>
                <xdr:row>74</xdr:row>
                <xdr:rowOff>19050</xdr:rowOff>
              </from>
              <to>
                <xdr:col>2</xdr:col>
                <xdr:colOff>409575</xdr:colOff>
                <xdr:row>74</xdr:row>
                <xdr:rowOff>142875</xdr:rowOff>
              </to>
            </anchor>
          </controlPr>
        </control>
      </mc:Choice>
      <mc:Fallback>
        <control shapeId="3150" r:id="rId75" name="VarErr72"/>
      </mc:Fallback>
    </mc:AlternateContent>
    <mc:AlternateContent xmlns:mc="http://schemas.openxmlformats.org/markup-compatibility/2006">
      <mc:Choice Requires="x14">
        <control shapeId="3151" r:id="rId76" name="VarErr73">
          <controlPr defaultSize="0" autoLine="0" r:id="rId4">
            <anchor moveWithCells="1">
              <from>
                <xdr:col>2</xdr:col>
                <xdr:colOff>247650</xdr:colOff>
                <xdr:row>75</xdr:row>
                <xdr:rowOff>19050</xdr:rowOff>
              </from>
              <to>
                <xdr:col>2</xdr:col>
                <xdr:colOff>409575</xdr:colOff>
                <xdr:row>75</xdr:row>
                <xdr:rowOff>142875</xdr:rowOff>
              </to>
            </anchor>
          </controlPr>
        </control>
      </mc:Choice>
      <mc:Fallback>
        <control shapeId="3151" r:id="rId76" name="VarErr73"/>
      </mc:Fallback>
    </mc:AlternateContent>
    <mc:AlternateContent xmlns:mc="http://schemas.openxmlformats.org/markup-compatibility/2006">
      <mc:Choice Requires="x14">
        <control shapeId="3152" r:id="rId77" name="VarErr74">
          <controlPr defaultSize="0" autoLine="0" r:id="rId4">
            <anchor moveWithCells="1">
              <from>
                <xdr:col>2</xdr:col>
                <xdr:colOff>247650</xdr:colOff>
                <xdr:row>76</xdr:row>
                <xdr:rowOff>19050</xdr:rowOff>
              </from>
              <to>
                <xdr:col>2</xdr:col>
                <xdr:colOff>409575</xdr:colOff>
                <xdr:row>76</xdr:row>
                <xdr:rowOff>142875</xdr:rowOff>
              </to>
            </anchor>
          </controlPr>
        </control>
      </mc:Choice>
      <mc:Fallback>
        <control shapeId="3152" r:id="rId77" name="VarErr74"/>
      </mc:Fallback>
    </mc:AlternateContent>
    <mc:AlternateContent xmlns:mc="http://schemas.openxmlformats.org/markup-compatibility/2006">
      <mc:Choice Requires="x14">
        <control shapeId="3153" r:id="rId78" name="VarErr75">
          <controlPr defaultSize="0" autoLine="0" r:id="rId4">
            <anchor moveWithCells="1">
              <from>
                <xdr:col>2</xdr:col>
                <xdr:colOff>247650</xdr:colOff>
                <xdr:row>77</xdr:row>
                <xdr:rowOff>19050</xdr:rowOff>
              </from>
              <to>
                <xdr:col>2</xdr:col>
                <xdr:colOff>409575</xdr:colOff>
                <xdr:row>77</xdr:row>
                <xdr:rowOff>142875</xdr:rowOff>
              </to>
            </anchor>
          </controlPr>
        </control>
      </mc:Choice>
      <mc:Fallback>
        <control shapeId="3153" r:id="rId78" name="VarErr75"/>
      </mc:Fallback>
    </mc:AlternateContent>
    <mc:AlternateContent xmlns:mc="http://schemas.openxmlformats.org/markup-compatibility/2006">
      <mc:Choice Requires="x14">
        <control shapeId="3154" r:id="rId79" name="VarErr76">
          <controlPr defaultSize="0" autoLine="0" r:id="rId4">
            <anchor moveWithCells="1">
              <from>
                <xdr:col>2</xdr:col>
                <xdr:colOff>247650</xdr:colOff>
                <xdr:row>78</xdr:row>
                <xdr:rowOff>19050</xdr:rowOff>
              </from>
              <to>
                <xdr:col>2</xdr:col>
                <xdr:colOff>409575</xdr:colOff>
                <xdr:row>78</xdr:row>
                <xdr:rowOff>142875</xdr:rowOff>
              </to>
            </anchor>
          </controlPr>
        </control>
      </mc:Choice>
      <mc:Fallback>
        <control shapeId="3154" r:id="rId79" name="VarErr76"/>
      </mc:Fallback>
    </mc:AlternateContent>
    <mc:AlternateContent xmlns:mc="http://schemas.openxmlformats.org/markup-compatibility/2006">
      <mc:Choice Requires="x14">
        <control shapeId="3155" r:id="rId80" name="VarErr77">
          <controlPr defaultSize="0" autoLine="0" r:id="rId4">
            <anchor moveWithCells="1">
              <from>
                <xdr:col>2</xdr:col>
                <xdr:colOff>247650</xdr:colOff>
                <xdr:row>79</xdr:row>
                <xdr:rowOff>19050</xdr:rowOff>
              </from>
              <to>
                <xdr:col>2</xdr:col>
                <xdr:colOff>409575</xdr:colOff>
                <xdr:row>79</xdr:row>
                <xdr:rowOff>142875</xdr:rowOff>
              </to>
            </anchor>
          </controlPr>
        </control>
      </mc:Choice>
      <mc:Fallback>
        <control shapeId="3155" r:id="rId80" name="VarErr77"/>
      </mc:Fallback>
    </mc:AlternateContent>
    <mc:AlternateContent xmlns:mc="http://schemas.openxmlformats.org/markup-compatibility/2006">
      <mc:Choice Requires="x14">
        <control shapeId="3156" r:id="rId81" name="VarErr78">
          <controlPr defaultSize="0" autoLine="0" r:id="rId4">
            <anchor moveWithCells="1">
              <from>
                <xdr:col>2</xdr:col>
                <xdr:colOff>247650</xdr:colOff>
                <xdr:row>80</xdr:row>
                <xdr:rowOff>19050</xdr:rowOff>
              </from>
              <to>
                <xdr:col>2</xdr:col>
                <xdr:colOff>409575</xdr:colOff>
                <xdr:row>80</xdr:row>
                <xdr:rowOff>142875</xdr:rowOff>
              </to>
            </anchor>
          </controlPr>
        </control>
      </mc:Choice>
      <mc:Fallback>
        <control shapeId="3156" r:id="rId81" name="VarErr78"/>
      </mc:Fallback>
    </mc:AlternateContent>
    <mc:AlternateContent xmlns:mc="http://schemas.openxmlformats.org/markup-compatibility/2006">
      <mc:Choice Requires="x14">
        <control shapeId="3157" r:id="rId82" name="VarErr79">
          <controlPr defaultSize="0" autoLine="0" r:id="rId4">
            <anchor moveWithCells="1">
              <from>
                <xdr:col>2</xdr:col>
                <xdr:colOff>247650</xdr:colOff>
                <xdr:row>81</xdr:row>
                <xdr:rowOff>19050</xdr:rowOff>
              </from>
              <to>
                <xdr:col>2</xdr:col>
                <xdr:colOff>409575</xdr:colOff>
                <xdr:row>81</xdr:row>
                <xdr:rowOff>142875</xdr:rowOff>
              </to>
            </anchor>
          </controlPr>
        </control>
      </mc:Choice>
      <mc:Fallback>
        <control shapeId="3157" r:id="rId82" name="VarErr79"/>
      </mc:Fallback>
    </mc:AlternateContent>
    <mc:AlternateContent xmlns:mc="http://schemas.openxmlformats.org/markup-compatibility/2006">
      <mc:Choice Requires="x14">
        <control shapeId="3158" r:id="rId83" name="VarErr80">
          <controlPr defaultSize="0" autoLine="0" r:id="rId4">
            <anchor moveWithCells="1">
              <from>
                <xdr:col>2</xdr:col>
                <xdr:colOff>247650</xdr:colOff>
                <xdr:row>82</xdr:row>
                <xdr:rowOff>19050</xdr:rowOff>
              </from>
              <to>
                <xdr:col>2</xdr:col>
                <xdr:colOff>409575</xdr:colOff>
                <xdr:row>82</xdr:row>
                <xdr:rowOff>142875</xdr:rowOff>
              </to>
            </anchor>
          </controlPr>
        </control>
      </mc:Choice>
      <mc:Fallback>
        <control shapeId="3158" r:id="rId83" name="VarErr80"/>
      </mc:Fallback>
    </mc:AlternateContent>
    <mc:AlternateContent xmlns:mc="http://schemas.openxmlformats.org/markup-compatibility/2006">
      <mc:Choice Requires="x14">
        <control shapeId="3159" r:id="rId84" name="VarErr81">
          <controlPr defaultSize="0" autoLine="0" r:id="rId4">
            <anchor moveWithCells="1">
              <from>
                <xdr:col>2</xdr:col>
                <xdr:colOff>247650</xdr:colOff>
                <xdr:row>83</xdr:row>
                <xdr:rowOff>19050</xdr:rowOff>
              </from>
              <to>
                <xdr:col>2</xdr:col>
                <xdr:colOff>409575</xdr:colOff>
                <xdr:row>83</xdr:row>
                <xdr:rowOff>142875</xdr:rowOff>
              </to>
            </anchor>
          </controlPr>
        </control>
      </mc:Choice>
      <mc:Fallback>
        <control shapeId="3159" r:id="rId84" name="VarErr81"/>
      </mc:Fallback>
    </mc:AlternateContent>
    <mc:AlternateContent xmlns:mc="http://schemas.openxmlformats.org/markup-compatibility/2006">
      <mc:Choice Requires="x14">
        <control shapeId="3160" r:id="rId85" name="VarErr82">
          <controlPr defaultSize="0" autoLine="0" r:id="rId4">
            <anchor moveWithCells="1">
              <from>
                <xdr:col>2</xdr:col>
                <xdr:colOff>247650</xdr:colOff>
                <xdr:row>84</xdr:row>
                <xdr:rowOff>19050</xdr:rowOff>
              </from>
              <to>
                <xdr:col>2</xdr:col>
                <xdr:colOff>409575</xdr:colOff>
                <xdr:row>84</xdr:row>
                <xdr:rowOff>142875</xdr:rowOff>
              </to>
            </anchor>
          </controlPr>
        </control>
      </mc:Choice>
      <mc:Fallback>
        <control shapeId="3160" r:id="rId85" name="VarErr82"/>
      </mc:Fallback>
    </mc:AlternateContent>
    <mc:AlternateContent xmlns:mc="http://schemas.openxmlformats.org/markup-compatibility/2006">
      <mc:Choice Requires="x14">
        <control shapeId="3161" r:id="rId86" name="VarErr83">
          <controlPr defaultSize="0" autoLine="0" r:id="rId4">
            <anchor moveWithCells="1">
              <from>
                <xdr:col>2</xdr:col>
                <xdr:colOff>247650</xdr:colOff>
                <xdr:row>85</xdr:row>
                <xdr:rowOff>19050</xdr:rowOff>
              </from>
              <to>
                <xdr:col>2</xdr:col>
                <xdr:colOff>409575</xdr:colOff>
                <xdr:row>85</xdr:row>
                <xdr:rowOff>142875</xdr:rowOff>
              </to>
            </anchor>
          </controlPr>
        </control>
      </mc:Choice>
      <mc:Fallback>
        <control shapeId="3161" r:id="rId86" name="VarErr83"/>
      </mc:Fallback>
    </mc:AlternateContent>
    <mc:AlternateContent xmlns:mc="http://schemas.openxmlformats.org/markup-compatibility/2006">
      <mc:Choice Requires="x14">
        <control shapeId="3162" r:id="rId87" name="VarErr84">
          <controlPr defaultSize="0" autoLine="0" r:id="rId4">
            <anchor moveWithCells="1">
              <from>
                <xdr:col>2</xdr:col>
                <xdr:colOff>247650</xdr:colOff>
                <xdr:row>86</xdr:row>
                <xdr:rowOff>19050</xdr:rowOff>
              </from>
              <to>
                <xdr:col>2</xdr:col>
                <xdr:colOff>409575</xdr:colOff>
                <xdr:row>86</xdr:row>
                <xdr:rowOff>142875</xdr:rowOff>
              </to>
            </anchor>
          </controlPr>
        </control>
      </mc:Choice>
      <mc:Fallback>
        <control shapeId="3162" r:id="rId87" name="VarErr84"/>
      </mc:Fallback>
    </mc:AlternateContent>
    <mc:AlternateContent xmlns:mc="http://schemas.openxmlformats.org/markup-compatibility/2006">
      <mc:Choice Requires="x14">
        <control shapeId="3163" r:id="rId88" name="VarErr85">
          <controlPr defaultSize="0" autoLine="0" r:id="rId4">
            <anchor moveWithCells="1">
              <from>
                <xdr:col>2</xdr:col>
                <xdr:colOff>247650</xdr:colOff>
                <xdr:row>87</xdr:row>
                <xdr:rowOff>19050</xdr:rowOff>
              </from>
              <to>
                <xdr:col>2</xdr:col>
                <xdr:colOff>409575</xdr:colOff>
                <xdr:row>87</xdr:row>
                <xdr:rowOff>142875</xdr:rowOff>
              </to>
            </anchor>
          </controlPr>
        </control>
      </mc:Choice>
      <mc:Fallback>
        <control shapeId="3163" r:id="rId88" name="VarErr85"/>
      </mc:Fallback>
    </mc:AlternateContent>
    <mc:AlternateContent xmlns:mc="http://schemas.openxmlformats.org/markup-compatibility/2006">
      <mc:Choice Requires="x14">
        <control shapeId="3164" r:id="rId89" name="VarErr86">
          <controlPr defaultSize="0" autoLine="0" r:id="rId4">
            <anchor moveWithCells="1">
              <from>
                <xdr:col>2</xdr:col>
                <xdr:colOff>247650</xdr:colOff>
                <xdr:row>88</xdr:row>
                <xdr:rowOff>19050</xdr:rowOff>
              </from>
              <to>
                <xdr:col>2</xdr:col>
                <xdr:colOff>409575</xdr:colOff>
                <xdr:row>88</xdr:row>
                <xdr:rowOff>142875</xdr:rowOff>
              </to>
            </anchor>
          </controlPr>
        </control>
      </mc:Choice>
      <mc:Fallback>
        <control shapeId="3164" r:id="rId89" name="VarErr86"/>
      </mc:Fallback>
    </mc:AlternateContent>
    <mc:AlternateContent xmlns:mc="http://schemas.openxmlformats.org/markup-compatibility/2006">
      <mc:Choice Requires="x14">
        <control shapeId="3165" r:id="rId90" name="VarErr87">
          <controlPr defaultSize="0" autoLine="0" r:id="rId4">
            <anchor moveWithCells="1">
              <from>
                <xdr:col>2</xdr:col>
                <xdr:colOff>247650</xdr:colOff>
                <xdr:row>89</xdr:row>
                <xdr:rowOff>19050</xdr:rowOff>
              </from>
              <to>
                <xdr:col>2</xdr:col>
                <xdr:colOff>409575</xdr:colOff>
                <xdr:row>89</xdr:row>
                <xdr:rowOff>142875</xdr:rowOff>
              </to>
            </anchor>
          </controlPr>
        </control>
      </mc:Choice>
      <mc:Fallback>
        <control shapeId="3165" r:id="rId90" name="VarErr87"/>
      </mc:Fallback>
    </mc:AlternateContent>
    <mc:AlternateContent xmlns:mc="http://schemas.openxmlformats.org/markup-compatibility/2006">
      <mc:Choice Requires="x14">
        <control shapeId="3166" r:id="rId91" name="VarErr88">
          <controlPr defaultSize="0" autoLine="0" r:id="rId4">
            <anchor moveWithCells="1">
              <from>
                <xdr:col>2</xdr:col>
                <xdr:colOff>247650</xdr:colOff>
                <xdr:row>90</xdr:row>
                <xdr:rowOff>19050</xdr:rowOff>
              </from>
              <to>
                <xdr:col>2</xdr:col>
                <xdr:colOff>409575</xdr:colOff>
                <xdr:row>90</xdr:row>
                <xdr:rowOff>142875</xdr:rowOff>
              </to>
            </anchor>
          </controlPr>
        </control>
      </mc:Choice>
      <mc:Fallback>
        <control shapeId="3166" r:id="rId91" name="VarErr88"/>
      </mc:Fallback>
    </mc:AlternateContent>
    <mc:AlternateContent xmlns:mc="http://schemas.openxmlformats.org/markup-compatibility/2006">
      <mc:Choice Requires="x14">
        <control shapeId="3167" r:id="rId92" name="VarErr89">
          <controlPr defaultSize="0" autoLine="0" r:id="rId4">
            <anchor moveWithCells="1">
              <from>
                <xdr:col>2</xdr:col>
                <xdr:colOff>247650</xdr:colOff>
                <xdr:row>91</xdr:row>
                <xdr:rowOff>19050</xdr:rowOff>
              </from>
              <to>
                <xdr:col>2</xdr:col>
                <xdr:colOff>409575</xdr:colOff>
                <xdr:row>91</xdr:row>
                <xdr:rowOff>142875</xdr:rowOff>
              </to>
            </anchor>
          </controlPr>
        </control>
      </mc:Choice>
      <mc:Fallback>
        <control shapeId="3167" r:id="rId92" name="VarErr89"/>
      </mc:Fallback>
    </mc:AlternateContent>
    <mc:AlternateContent xmlns:mc="http://schemas.openxmlformats.org/markup-compatibility/2006">
      <mc:Choice Requires="x14">
        <control shapeId="3168" r:id="rId93" name="VarPreSelect1">
          <controlPr defaultSize="0" autoLine="0" r:id="rId4">
            <anchor moveWithCells="1">
              <from>
                <xdr:col>3</xdr:col>
                <xdr:colOff>247650</xdr:colOff>
                <xdr:row>3</xdr:row>
                <xdr:rowOff>19050</xdr:rowOff>
              </from>
              <to>
                <xdr:col>3</xdr:col>
                <xdr:colOff>409575</xdr:colOff>
                <xdr:row>3</xdr:row>
                <xdr:rowOff>142875</xdr:rowOff>
              </to>
            </anchor>
          </controlPr>
        </control>
      </mc:Choice>
      <mc:Fallback>
        <control shapeId="3168" r:id="rId93" name="VarPreSelect1"/>
      </mc:Fallback>
    </mc:AlternateContent>
    <mc:AlternateContent xmlns:mc="http://schemas.openxmlformats.org/markup-compatibility/2006">
      <mc:Choice Requires="x14">
        <control shapeId="3169" r:id="rId94" name="VarPreSelect2">
          <controlPr defaultSize="0" autoLine="0" r:id="rId4">
            <anchor moveWithCells="1">
              <from>
                <xdr:col>3</xdr:col>
                <xdr:colOff>247650</xdr:colOff>
                <xdr:row>4</xdr:row>
                <xdr:rowOff>19050</xdr:rowOff>
              </from>
              <to>
                <xdr:col>3</xdr:col>
                <xdr:colOff>409575</xdr:colOff>
                <xdr:row>4</xdr:row>
                <xdr:rowOff>142875</xdr:rowOff>
              </to>
            </anchor>
          </controlPr>
        </control>
      </mc:Choice>
      <mc:Fallback>
        <control shapeId="3169" r:id="rId94" name="VarPreSelect2"/>
      </mc:Fallback>
    </mc:AlternateContent>
    <mc:AlternateContent xmlns:mc="http://schemas.openxmlformats.org/markup-compatibility/2006">
      <mc:Choice Requires="x14">
        <control shapeId="3170" r:id="rId95" name="VarPreSelect3">
          <controlPr defaultSize="0" autoLine="0" r:id="rId4">
            <anchor moveWithCells="1">
              <from>
                <xdr:col>3</xdr:col>
                <xdr:colOff>247650</xdr:colOff>
                <xdr:row>5</xdr:row>
                <xdr:rowOff>19050</xdr:rowOff>
              </from>
              <to>
                <xdr:col>3</xdr:col>
                <xdr:colOff>409575</xdr:colOff>
                <xdr:row>5</xdr:row>
                <xdr:rowOff>142875</xdr:rowOff>
              </to>
            </anchor>
          </controlPr>
        </control>
      </mc:Choice>
      <mc:Fallback>
        <control shapeId="3170" r:id="rId95" name="VarPreSelect3"/>
      </mc:Fallback>
    </mc:AlternateContent>
    <mc:AlternateContent xmlns:mc="http://schemas.openxmlformats.org/markup-compatibility/2006">
      <mc:Choice Requires="x14">
        <control shapeId="3171" r:id="rId96" name="VarPreSelect4">
          <controlPr defaultSize="0" autoLine="0" r:id="rId4">
            <anchor moveWithCells="1">
              <from>
                <xdr:col>3</xdr:col>
                <xdr:colOff>247650</xdr:colOff>
                <xdr:row>6</xdr:row>
                <xdr:rowOff>19050</xdr:rowOff>
              </from>
              <to>
                <xdr:col>3</xdr:col>
                <xdr:colOff>409575</xdr:colOff>
                <xdr:row>6</xdr:row>
                <xdr:rowOff>142875</xdr:rowOff>
              </to>
            </anchor>
          </controlPr>
        </control>
      </mc:Choice>
      <mc:Fallback>
        <control shapeId="3171" r:id="rId96" name="VarPreSelect4"/>
      </mc:Fallback>
    </mc:AlternateContent>
    <mc:AlternateContent xmlns:mc="http://schemas.openxmlformats.org/markup-compatibility/2006">
      <mc:Choice Requires="x14">
        <control shapeId="3172" r:id="rId97" name="VarPreSelect5">
          <controlPr defaultSize="0" autoLine="0" r:id="rId4">
            <anchor moveWithCells="1">
              <from>
                <xdr:col>3</xdr:col>
                <xdr:colOff>247650</xdr:colOff>
                <xdr:row>7</xdr:row>
                <xdr:rowOff>19050</xdr:rowOff>
              </from>
              <to>
                <xdr:col>3</xdr:col>
                <xdr:colOff>409575</xdr:colOff>
                <xdr:row>7</xdr:row>
                <xdr:rowOff>142875</xdr:rowOff>
              </to>
            </anchor>
          </controlPr>
        </control>
      </mc:Choice>
      <mc:Fallback>
        <control shapeId="3172" r:id="rId97" name="VarPreSelect5"/>
      </mc:Fallback>
    </mc:AlternateContent>
    <mc:AlternateContent xmlns:mc="http://schemas.openxmlformats.org/markup-compatibility/2006">
      <mc:Choice Requires="x14">
        <control shapeId="3173" r:id="rId98" name="VarPreSelect6">
          <controlPr defaultSize="0" autoLine="0" r:id="rId4">
            <anchor moveWithCells="1">
              <from>
                <xdr:col>3</xdr:col>
                <xdr:colOff>247650</xdr:colOff>
                <xdr:row>8</xdr:row>
                <xdr:rowOff>19050</xdr:rowOff>
              </from>
              <to>
                <xdr:col>3</xdr:col>
                <xdr:colOff>409575</xdr:colOff>
                <xdr:row>8</xdr:row>
                <xdr:rowOff>142875</xdr:rowOff>
              </to>
            </anchor>
          </controlPr>
        </control>
      </mc:Choice>
      <mc:Fallback>
        <control shapeId="3173" r:id="rId98" name="VarPreSelect6"/>
      </mc:Fallback>
    </mc:AlternateContent>
    <mc:AlternateContent xmlns:mc="http://schemas.openxmlformats.org/markup-compatibility/2006">
      <mc:Choice Requires="x14">
        <control shapeId="3174" r:id="rId99" name="VarPreSelect7">
          <controlPr defaultSize="0" autoLine="0" r:id="rId4">
            <anchor moveWithCells="1">
              <from>
                <xdr:col>3</xdr:col>
                <xdr:colOff>247650</xdr:colOff>
                <xdr:row>9</xdr:row>
                <xdr:rowOff>19050</xdr:rowOff>
              </from>
              <to>
                <xdr:col>3</xdr:col>
                <xdr:colOff>409575</xdr:colOff>
                <xdr:row>9</xdr:row>
                <xdr:rowOff>142875</xdr:rowOff>
              </to>
            </anchor>
          </controlPr>
        </control>
      </mc:Choice>
      <mc:Fallback>
        <control shapeId="3174" r:id="rId99" name="VarPreSelect7"/>
      </mc:Fallback>
    </mc:AlternateContent>
    <mc:AlternateContent xmlns:mc="http://schemas.openxmlformats.org/markup-compatibility/2006">
      <mc:Choice Requires="x14">
        <control shapeId="3175" r:id="rId100" name="VarPreSelect8">
          <controlPr defaultSize="0" autoLine="0" r:id="rId4">
            <anchor moveWithCells="1">
              <from>
                <xdr:col>3</xdr:col>
                <xdr:colOff>247650</xdr:colOff>
                <xdr:row>10</xdr:row>
                <xdr:rowOff>19050</xdr:rowOff>
              </from>
              <to>
                <xdr:col>3</xdr:col>
                <xdr:colOff>409575</xdr:colOff>
                <xdr:row>10</xdr:row>
                <xdr:rowOff>142875</xdr:rowOff>
              </to>
            </anchor>
          </controlPr>
        </control>
      </mc:Choice>
      <mc:Fallback>
        <control shapeId="3175" r:id="rId100" name="VarPreSelect8"/>
      </mc:Fallback>
    </mc:AlternateContent>
    <mc:AlternateContent xmlns:mc="http://schemas.openxmlformats.org/markup-compatibility/2006">
      <mc:Choice Requires="x14">
        <control shapeId="3176" r:id="rId101" name="VarPreSelect9">
          <controlPr defaultSize="0" autoLine="0" r:id="rId4">
            <anchor moveWithCells="1">
              <from>
                <xdr:col>3</xdr:col>
                <xdr:colOff>247650</xdr:colOff>
                <xdr:row>11</xdr:row>
                <xdr:rowOff>19050</xdr:rowOff>
              </from>
              <to>
                <xdr:col>3</xdr:col>
                <xdr:colOff>409575</xdr:colOff>
                <xdr:row>11</xdr:row>
                <xdr:rowOff>142875</xdr:rowOff>
              </to>
            </anchor>
          </controlPr>
        </control>
      </mc:Choice>
      <mc:Fallback>
        <control shapeId="3176" r:id="rId101" name="VarPreSelect9"/>
      </mc:Fallback>
    </mc:AlternateContent>
    <mc:AlternateContent xmlns:mc="http://schemas.openxmlformats.org/markup-compatibility/2006">
      <mc:Choice Requires="x14">
        <control shapeId="3177" r:id="rId102" name="VarPreSelect10">
          <controlPr defaultSize="0" autoLine="0" r:id="rId4">
            <anchor moveWithCells="1">
              <from>
                <xdr:col>3</xdr:col>
                <xdr:colOff>247650</xdr:colOff>
                <xdr:row>12</xdr:row>
                <xdr:rowOff>19050</xdr:rowOff>
              </from>
              <to>
                <xdr:col>3</xdr:col>
                <xdr:colOff>409575</xdr:colOff>
                <xdr:row>12</xdr:row>
                <xdr:rowOff>142875</xdr:rowOff>
              </to>
            </anchor>
          </controlPr>
        </control>
      </mc:Choice>
      <mc:Fallback>
        <control shapeId="3177" r:id="rId102" name="VarPreSelect10"/>
      </mc:Fallback>
    </mc:AlternateContent>
    <mc:AlternateContent xmlns:mc="http://schemas.openxmlformats.org/markup-compatibility/2006">
      <mc:Choice Requires="x14">
        <control shapeId="3178" r:id="rId103" name="VarPreSelect11">
          <controlPr defaultSize="0" autoLine="0" r:id="rId4">
            <anchor moveWithCells="1">
              <from>
                <xdr:col>3</xdr:col>
                <xdr:colOff>247650</xdr:colOff>
                <xdr:row>13</xdr:row>
                <xdr:rowOff>19050</xdr:rowOff>
              </from>
              <to>
                <xdr:col>3</xdr:col>
                <xdr:colOff>409575</xdr:colOff>
                <xdr:row>13</xdr:row>
                <xdr:rowOff>142875</xdr:rowOff>
              </to>
            </anchor>
          </controlPr>
        </control>
      </mc:Choice>
      <mc:Fallback>
        <control shapeId="3178" r:id="rId103" name="VarPreSelect11"/>
      </mc:Fallback>
    </mc:AlternateContent>
    <mc:AlternateContent xmlns:mc="http://schemas.openxmlformats.org/markup-compatibility/2006">
      <mc:Choice Requires="x14">
        <control shapeId="3179" r:id="rId104" name="VarPreSelect12">
          <controlPr defaultSize="0" autoLine="0" r:id="rId4">
            <anchor moveWithCells="1">
              <from>
                <xdr:col>3</xdr:col>
                <xdr:colOff>247650</xdr:colOff>
                <xdr:row>14</xdr:row>
                <xdr:rowOff>19050</xdr:rowOff>
              </from>
              <to>
                <xdr:col>3</xdr:col>
                <xdr:colOff>409575</xdr:colOff>
                <xdr:row>14</xdr:row>
                <xdr:rowOff>142875</xdr:rowOff>
              </to>
            </anchor>
          </controlPr>
        </control>
      </mc:Choice>
      <mc:Fallback>
        <control shapeId="3179" r:id="rId104" name="VarPreSelect12"/>
      </mc:Fallback>
    </mc:AlternateContent>
    <mc:AlternateContent xmlns:mc="http://schemas.openxmlformats.org/markup-compatibility/2006">
      <mc:Choice Requires="x14">
        <control shapeId="3180" r:id="rId105" name="VarPreSelect13">
          <controlPr defaultSize="0" autoLine="0" r:id="rId4">
            <anchor moveWithCells="1">
              <from>
                <xdr:col>3</xdr:col>
                <xdr:colOff>247650</xdr:colOff>
                <xdr:row>15</xdr:row>
                <xdr:rowOff>19050</xdr:rowOff>
              </from>
              <to>
                <xdr:col>3</xdr:col>
                <xdr:colOff>409575</xdr:colOff>
                <xdr:row>15</xdr:row>
                <xdr:rowOff>142875</xdr:rowOff>
              </to>
            </anchor>
          </controlPr>
        </control>
      </mc:Choice>
      <mc:Fallback>
        <control shapeId="3180" r:id="rId105" name="VarPreSelect13"/>
      </mc:Fallback>
    </mc:AlternateContent>
    <mc:AlternateContent xmlns:mc="http://schemas.openxmlformats.org/markup-compatibility/2006">
      <mc:Choice Requires="x14">
        <control shapeId="3181" r:id="rId106" name="VarPreSelect14">
          <controlPr defaultSize="0" autoLine="0" r:id="rId4">
            <anchor moveWithCells="1">
              <from>
                <xdr:col>3</xdr:col>
                <xdr:colOff>247650</xdr:colOff>
                <xdr:row>16</xdr:row>
                <xdr:rowOff>19050</xdr:rowOff>
              </from>
              <to>
                <xdr:col>3</xdr:col>
                <xdr:colOff>409575</xdr:colOff>
                <xdr:row>16</xdr:row>
                <xdr:rowOff>142875</xdr:rowOff>
              </to>
            </anchor>
          </controlPr>
        </control>
      </mc:Choice>
      <mc:Fallback>
        <control shapeId="3181" r:id="rId106" name="VarPreSelect14"/>
      </mc:Fallback>
    </mc:AlternateContent>
    <mc:AlternateContent xmlns:mc="http://schemas.openxmlformats.org/markup-compatibility/2006">
      <mc:Choice Requires="x14">
        <control shapeId="3182" r:id="rId107" name="VarPreSelect15">
          <controlPr defaultSize="0" autoLine="0" r:id="rId4">
            <anchor moveWithCells="1">
              <from>
                <xdr:col>3</xdr:col>
                <xdr:colOff>247650</xdr:colOff>
                <xdr:row>17</xdr:row>
                <xdr:rowOff>19050</xdr:rowOff>
              </from>
              <to>
                <xdr:col>3</xdr:col>
                <xdr:colOff>409575</xdr:colOff>
                <xdr:row>17</xdr:row>
                <xdr:rowOff>142875</xdr:rowOff>
              </to>
            </anchor>
          </controlPr>
        </control>
      </mc:Choice>
      <mc:Fallback>
        <control shapeId="3182" r:id="rId107" name="VarPreSelect15"/>
      </mc:Fallback>
    </mc:AlternateContent>
    <mc:AlternateContent xmlns:mc="http://schemas.openxmlformats.org/markup-compatibility/2006">
      <mc:Choice Requires="x14">
        <control shapeId="3183" r:id="rId108" name="VarPreSelect16">
          <controlPr defaultSize="0" autoLine="0" r:id="rId4">
            <anchor moveWithCells="1">
              <from>
                <xdr:col>3</xdr:col>
                <xdr:colOff>247650</xdr:colOff>
                <xdr:row>18</xdr:row>
                <xdr:rowOff>19050</xdr:rowOff>
              </from>
              <to>
                <xdr:col>3</xdr:col>
                <xdr:colOff>409575</xdr:colOff>
                <xdr:row>18</xdr:row>
                <xdr:rowOff>142875</xdr:rowOff>
              </to>
            </anchor>
          </controlPr>
        </control>
      </mc:Choice>
      <mc:Fallback>
        <control shapeId="3183" r:id="rId108" name="VarPreSelect16"/>
      </mc:Fallback>
    </mc:AlternateContent>
    <mc:AlternateContent xmlns:mc="http://schemas.openxmlformats.org/markup-compatibility/2006">
      <mc:Choice Requires="x14">
        <control shapeId="3184" r:id="rId109" name="VarPreSelect17">
          <controlPr defaultSize="0" autoLine="0" r:id="rId4">
            <anchor moveWithCells="1">
              <from>
                <xdr:col>3</xdr:col>
                <xdr:colOff>247650</xdr:colOff>
                <xdr:row>19</xdr:row>
                <xdr:rowOff>19050</xdr:rowOff>
              </from>
              <to>
                <xdr:col>3</xdr:col>
                <xdr:colOff>409575</xdr:colOff>
                <xdr:row>19</xdr:row>
                <xdr:rowOff>142875</xdr:rowOff>
              </to>
            </anchor>
          </controlPr>
        </control>
      </mc:Choice>
      <mc:Fallback>
        <control shapeId="3184" r:id="rId109" name="VarPreSelect17"/>
      </mc:Fallback>
    </mc:AlternateContent>
    <mc:AlternateContent xmlns:mc="http://schemas.openxmlformats.org/markup-compatibility/2006">
      <mc:Choice Requires="x14">
        <control shapeId="3185" r:id="rId110" name="VarPreSelect18">
          <controlPr defaultSize="0" autoLine="0" r:id="rId4">
            <anchor moveWithCells="1">
              <from>
                <xdr:col>3</xdr:col>
                <xdr:colOff>247650</xdr:colOff>
                <xdr:row>20</xdr:row>
                <xdr:rowOff>19050</xdr:rowOff>
              </from>
              <to>
                <xdr:col>3</xdr:col>
                <xdr:colOff>409575</xdr:colOff>
                <xdr:row>20</xdr:row>
                <xdr:rowOff>142875</xdr:rowOff>
              </to>
            </anchor>
          </controlPr>
        </control>
      </mc:Choice>
      <mc:Fallback>
        <control shapeId="3185" r:id="rId110" name="VarPreSelect18"/>
      </mc:Fallback>
    </mc:AlternateContent>
    <mc:AlternateContent xmlns:mc="http://schemas.openxmlformats.org/markup-compatibility/2006">
      <mc:Choice Requires="x14">
        <control shapeId="3186" r:id="rId111" name="VarPreSelect19">
          <controlPr defaultSize="0" autoLine="0" r:id="rId4">
            <anchor moveWithCells="1">
              <from>
                <xdr:col>3</xdr:col>
                <xdr:colOff>247650</xdr:colOff>
                <xdr:row>21</xdr:row>
                <xdr:rowOff>19050</xdr:rowOff>
              </from>
              <to>
                <xdr:col>3</xdr:col>
                <xdr:colOff>409575</xdr:colOff>
                <xdr:row>21</xdr:row>
                <xdr:rowOff>142875</xdr:rowOff>
              </to>
            </anchor>
          </controlPr>
        </control>
      </mc:Choice>
      <mc:Fallback>
        <control shapeId="3186" r:id="rId111" name="VarPreSelect19"/>
      </mc:Fallback>
    </mc:AlternateContent>
    <mc:AlternateContent xmlns:mc="http://schemas.openxmlformats.org/markup-compatibility/2006">
      <mc:Choice Requires="x14">
        <control shapeId="3187" r:id="rId112" name="VarPreSelect20">
          <controlPr defaultSize="0" autoLine="0" r:id="rId4">
            <anchor moveWithCells="1">
              <from>
                <xdr:col>3</xdr:col>
                <xdr:colOff>247650</xdr:colOff>
                <xdr:row>22</xdr:row>
                <xdr:rowOff>19050</xdr:rowOff>
              </from>
              <to>
                <xdr:col>3</xdr:col>
                <xdr:colOff>409575</xdr:colOff>
                <xdr:row>22</xdr:row>
                <xdr:rowOff>142875</xdr:rowOff>
              </to>
            </anchor>
          </controlPr>
        </control>
      </mc:Choice>
      <mc:Fallback>
        <control shapeId="3187" r:id="rId112" name="VarPreSelect20"/>
      </mc:Fallback>
    </mc:AlternateContent>
    <mc:AlternateContent xmlns:mc="http://schemas.openxmlformats.org/markup-compatibility/2006">
      <mc:Choice Requires="x14">
        <control shapeId="3188" r:id="rId113" name="VarPreSelect21">
          <controlPr defaultSize="0" autoLine="0" r:id="rId4">
            <anchor moveWithCells="1">
              <from>
                <xdr:col>3</xdr:col>
                <xdr:colOff>247650</xdr:colOff>
                <xdr:row>23</xdr:row>
                <xdr:rowOff>19050</xdr:rowOff>
              </from>
              <to>
                <xdr:col>3</xdr:col>
                <xdr:colOff>409575</xdr:colOff>
                <xdr:row>23</xdr:row>
                <xdr:rowOff>142875</xdr:rowOff>
              </to>
            </anchor>
          </controlPr>
        </control>
      </mc:Choice>
      <mc:Fallback>
        <control shapeId="3188" r:id="rId113" name="VarPreSelect21"/>
      </mc:Fallback>
    </mc:AlternateContent>
    <mc:AlternateContent xmlns:mc="http://schemas.openxmlformats.org/markup-compatibility/2006">
      <mc:Choice Requires="x14">
        <control shapeId="3189" r:id="rId114" name="VarPreSelect22">
          <controlPr defaultSize="0" autoLine="0" r:id="rId4">
            <anchor moveWithCells="1">
              <from>
                <xdr:col>3</xdr:col>
                <xdr:colOff>247650</xdr:colOff>
                <xdr:row>24</xdr:row>
                <xdr:rowOff>19050</xdr:rowOff>
              </from>
              <to>
                <xdr:col>3</xdr:col>
                <xdr:colOff>409575</xdr:colOff>
                <xdr:row>24</xdr:row>
                <xdr:rowOff>142875</xdr:rowOff>
              </to>
            </anchor>
          </controlPr>
        </control>
      </mc:Choice>
      <mc:Fallback>
        <control shapeId="3189" r:id="rId114" name="VarPreSelect22"/>
      </mc:Fallback>
    </mc:AlternateContent>
    <mc:AlternateContent xmlns:mc="http://schemas.openxmlformats.org/markup-compatibility/2006">
      <mc:Choice Requires="x14">
        <control shapeId="3190" r:id="rId115" name="VarPreSelect23">
          <controlPr defaultSize="0" autoLine="0" r:id="rId4">
            <anchor moveWithCells="1">
              <from>
                <xdr:col>3</xdr:col>
                <xdr:colOff>247650</xdr:colOff>
                <xdr:row>25</xdr:row>
                <xdr:rowOff>19050</xdr:rowOff>
              </from>
              <to>
                <xdr:col>3</xdr:col>
                <xdr:colOff>409575</xdr:colOff>
                <xdr:row>25</xdr:row>
                <xdr:rowOff>142875</xdr:rowOff>
              </to>
            </anchor>
          </controlPr>
        </control>
      </mc:Choice>
      <mc:Fallback>
        <control shapeId="3190" r:id="rId115" name="VarPreSelect23"/>
      </mc:Fallback>
    </mc:AlternateContent>
    <mc:AlternateContent xmlns:mc="http://schemas.openxmlformats.org/markup-compatibility/2006">
      <mc:Choice Requires="x14">
        <control shapeId="3191" r:id="rId116" name="VarPreSelect24">
          <controlPr defaultSize="0" autoLine="0" r:id="rId4">
            <anchor moveWithCells="1">
              <from>
                <xdr:col>3</xdr:col>
                <xdr:colOff>247650</xdr:colOff>
                <xdr:row>26</xdr:row>
                <xdr:rowOff>19050</xdr:rowOff>
              </from>
              <to>
                <xdr:col>3</xdr:col>
                <xdr:colOff>409575</xdr:colOff>
                <xdr:row>26</xdr:row>
                <xdr:rowOff>142875</xdr:rowOff>
              </to>
            </anchor>
          </controlPr>
        </control>
      </mc:Choice>
      <mc:Fallback>
        <control shapeId="3191" r:id="rId116" name="VarPreSelect24"/>
      </mc:Fallback>
    </mc:AlternateContent>
    <mc:AlternateContent xmlns:mc="http://schemas.openxmlformats.org/markup-compatibility/2006">
      <mc:Choice Requires="x14">
        <control shapeId="3192" r:id="rId117" name="VarPreSelect25">
          <controlPr defaultSize="0" autoLine="0" r:id="rId4">
            <anchor moveWithCells="1">
              <from>
                <xdr:col>3</xdr:col>
                <xdr:colOff>247650</xdr:colOff>
                <xdr:row>27</xdr:row>
                <xdr:rowOff>19050</xdr:rowOff>
              </from>
              <to>
                <xdr:col>3</xdr:col>
                <xdr:colOff>409575</xdr:colOff>
                <xdr:row>27</xdr:row>
                <xdr:rowOff>142875</xdr:rowOff>
              </to>
            </anchor>
          </controlPr>
        </control>
      </mc:Choice>
      <mc:Fallback>
        <control shapeId="3192" r:id="rId117" name="VarPreSelect25"/>
      </mc:Fallback>
    </mc:AlternateContent>
    <mc:AlternateContent xmlns:mc="http://schemas.openxmlformats.org/markup-compatibility/2006">
      <mc:Choice Requires="x14">
        <control shapeId="3193" r:id="rId118" name="VarPreSelect26">
          <controlPr defaultSize="0" autoLine="0" r:id="rId4">
            <anchor moveWithCells="1">
              <from>
                <xdr:col>3</xdr:col>
                <xdr:colOff>247650</xdr:colOff>
                <xdr:row>28</xdr:row>
                <xdr:rowOff>19050</xdr:rowOff>
              </from>
              <to>
                <xdr:col>3</xdr:col>
                <xdr:colOff>409575</xdr:colOff>
                <xdr:row>28</xdr:row>
                <xdr:rowOff>142875</xdr:rowOff>
              </to>
            </anchor>
          </controlPr>
        </control>
      </mc:Choice>
      <mc:Fallback>
        <control shapeId="3193" r:id="rId118" name="VarPreSelect26"/>
      </mc:Fallback>
    </mc:AlternateContent>
    <mc:AlternateContent xmlns:mc="http://schemas.openxmlformats.org/markup-compatibility/2006">
      <mc:Choice Requires="x14">
        <control shapeId="3194" r:id="rId119" name="VarPreSelect27">
          <controlPr defaultSize="0" autoLine="0" r:id="rId4">
            <anchor moveWithCells="1">
              <from>
                <xdr:col>3</xdr:col>
                <xdr:colOff>247650</xdr:colOff>
                <xdr:row>29</xdr:row>
                <xdr:rowOff>19050</xdr:rowOff>
              </from>
              <to>
                <xdr:col>3</xdr:col>
                <xdr:colOff>409575</xdr:colOff>
                <xdr:row>29</xdr:row>
                <xdr:rowOff>142875</xdr:rowOff>
              </to>
            </anchor>
          </controlPr>
        </control>
      </mc:Choice>
      <mc:Fallback>
        <control shapeId="3194" r:id="rId119" name="VarPreSelect27"/>
      </mc:Fallback>
    </mc:AlternateContent>
    <mc:AlternateContent xmlns:mc="http://schemas.openxmlformats.org/markup-compatibility/2006">
      <mc:Choice Requires="x14">
        <control shapeId="3195" r:id="rId120" name="VarPreSelect28">
          <controlPr defaultSize="0" autoLine="0" r:id="rId4">
            <anchor moveWithCells="1">
              <from>
                <xdr:col>3</xdr:col>
                <xdr:colOff>247650</xdr:colOff>
                <xdr:row>30</xdr:row>
                <xdr:rowOff>19050</xdr:rowOff>
              </from>
              <to>
                <xdr:col>3</xdr:col>
                <xdr:colOff>409575</xdr:colOff>
                <xdr:row>30</xdr:row>
                <xdr:rowOff>142875</xdr:rowOff>
              </to>
            </anchor>
          </controlPr>
        </control>
      </mc:Choice>
      <mc:Fallback>
        <control shapeId="3195" r:id="rId120" name="VarPreSelect28"/>
      </mc:Fallback>
    </mc:AlternateContent>
    <mc:AlternateContent xmlns:mc="http://schemas.openxmlformats.org/markup-compatibility/2006">
      <mc:Choice Requires="x14">
        <control shapeId="3196" r:id="rId121" name="VarPreSelect29">
          <controlPr defaultSize="0" autoLine="0" r:id="rId4">
            <anchor moveWithCells="1">
              <from>
                <xdr:col>3</xdr:col>
                <xdr:colOff>247650</xdr:colOff>
                <xdr:row>31</xdr:row>
                <xdr:rowOff>19050</xdr:rowOff>
              </from>
              <to>
                <xdr:col>3</xdr:col>
                <xdr:colOff>409575</xdr:colOff>
                <xdr:row>31</xdr:row>
                <xdr:rowOff>142875</xdr:rowOff>
              </to>
            </anchor>
          </controlPr>
        </control>
      </mc:Choice>
      <mc:Fallback>
        <control shapeId="3196" r:id="rId121" name="VarPreSelect29"/>
      </mc:Fallback>
    </mc:AlternateContent>
    <mc:AlternateContent xmlns:mc="http://schemas.openxmlformats.org/markup-compatibility/2006">
      <mc:Choice Requires="x14">
        <control shapeId="3197" r:id="rId122" name="VarPreSelect30">
          <controlPr defaultSize="0" autoLine="0" r:id="rId4">
            <anchor moveWithCells="1">
              <from>
                <xdr:col>3</xdr:col>
                <xdr:colOff>247650</xdr:colOff>
                <xdr:row>32</xdr:row>
                <xdr:rowOff>19050</xdr:rowOff>
              </from>
              <to>
                <xdr:col>3</xdr:col>
                <xdr:colOff>409575</xdr:colOff>
                <xdr:row>32</xdr:row>
                <xdr:rowOff>142875</xdr:rowOff>
              </to>
            </anchor>
          </controlPr>
        </control>
      </mc:Choice>
      <mc:Fallback>
        <control shapeId="3197" r:id="rId122" name="VarPreSelect30"/>
      </mc:Fallback>
    </mc:AlternateContent>
    <mc:AlternateContent xmlns:mc="http://schemas.openxmlformats.org/markup-compatibility/2006">
      <mc:Choice Requires="x14">
        <control shapeId="3198" r:id="rId123" name="VarPreSelect31">
          <controlPr defaultSize="0" autoLine="0" r:id="rId4">
            <anchor moveWithCells="1">
              <from>
                <xdr:col>3</xdr:col>
                <xdr:colOff>247650</xdr:colOff>
                <xdr:row>33</xdr:row>
                <xdr:rowOff>19050</xdr:rowOff>
              </from>
              <to>
                <xdr:col>3</xdr:col>
                <xdr:colOff>409575</xdr:colOff>
                <xdr:row>33</xdr:row>
                <xdr:rowOff>142875</xdr:rowOff>
              </to>
            </anchor>
          </controlPr>
        </control>
      </mc:Choice>
      <mc:Fallback>
        <control shapeId="3198" r:id="rId123" name="VarPreSelect31"/>
      </mc:Fallback>
    </mc:AlternateContent>
    <mc:AlternateContent xmlns:mc="http://schemas.openxmlformats.org/markup-compatibility/2006">
      <mc:Choice Requires="x14">
        <control shapeId="3199" r:id="rId124" name="VarPreSelect32">
          <controlPr defaultSize="0" autoLine="0" r:id="rId4">
            <anchor moveWithCells="1">
              <from>
                <xdr:col>3</xdr:col>
                <xdr:colOff>247650</xdr:colOff>
                <xdr:row>34</xdr:row>
                <xdr:rowOff>19050</xdr:rowOff>
              </from>
              <to>
                <xdr:col>3</xdr:col>
                <xdr:colOff>409575</xdr:colOff>
                <xdr:row>34</xdr:row>
                <xdr:rowOff>142875</xdr:rowOff>
              </to>
            </anchor>
          </controlPr>
        </control>
      </mc:Choice>
      <mc:Fallback>
        <control shapeId="3199" r:id="rId124" name="VarPreSelect32"/>
      </mc:Fallback>
    </mc:AlternateContent>
    <mc:AlternateContent xmlns:mc="http://schemas.openxmlformats.org/markup-compatibility/2006">
      <mc:Choice Requires="x14">
        <control shapeId="3200" r:id="rId125" name="VarPreSelect33">
          <controlPr defaultSize="0" autoLine="0" r:id="rId4">
            <anchor moveWithCells="1">
              <from>
                <xdr:col>3</xdr:col>
                <xdr:colOff>247650</xdr:colOff>
                <xdr:row>35</xdr:row>
                <xdr:rowOff>19050</xdr:rowOff>
              </from>
              <to>
                <xdr:col>3</xdr:col>
                <xdr:colOff>409575</xdr:colOff>
                <xdr:row>35</xdr:row>
                <xdr:rowOff>142875</xdr:rowOff>
              </to>
            </anchor>
          </controlPr>
        </control>
      </mc:Choice>
      <mc:Fallback>
        <control shapeId="3200" r:id="rId125" name="VarPreSelect33"/>
      </mc:Fallback>
    </mc:AlternateContent>
    <mc:AlternateContent xmlns:mc="http://schemas.openxmlformats.org/markup-compatibility/2006">
      <mc:Choice Requires="x14">
        <control shapeId="3201" r:id="rId126" name="VarPreSelect34">
          <controlPr defaultSize="0" autoLine="0" r:id="rId4">
            <anchor moveWithCells="1">
              <from>
                <xdr:col>3</xdr:col>
                <xdr:colOff>247650</xdr:colOff>
                <xdr:row>36</xdr:row>
                <xdr:rowOff>19050</xdr:rowOff>
              </from>
              <to>
                <xdr:col>3</xdr:col>
                <xdr:colOff>409575</xdr:colOff>
                <xdr:row>36</xdr:row>
                <xdr:rowOff>142875</xdr:rowOff>
              </to>
            </anchor>
          </controlPr>
        </control>
      </mc:Choice>
      <mc:Fallback>
        <control shapeId="3201" r:id="rId126" name="VarPreSelect34"/>
      </mc:Fallback>
    </mc:AlternateContent>
    <mc:AlternateContent xmlns:mc="http://schemas.openxmlformats.org/markup-compatibility/2006">
      <mc:Choice Requires="x14">
        <control shapeId="3202" r:id="rId127" name="VarPreSelect35">
          <controlPr defaultSize="0" autoLine="0" r:id="rId4">
            <anchor moveWithCells="1">
              <from>
                <xdr:col>3</xdr:col>
                <xdr:colOff>247650</xdr:colOff>
                <xdr:row>37</xdr:row>
                <xdr:rowOff>19050</xdr:rowOff>
              </from>
              <to>
                <xdr:col>3</xdr:col>
                <xdr:colOff>409575</xdr:colOff>
                <xdr:row>37</xdr:row>
                <xdr:rowOff>142875</xdr:rowOff>
              </to>
            </anchor>
          </controlPr>
        </control>
      </mc:Choice>
      <mc:Fallback>
        <control shapeId="3202" r:id="rId127" name="VarPreSelect35"/>
      </mc:Fallback>
    </mc:AlternateContent>
    <mc:AlternateContent xmlns:mc="http://schemas.openxmlformats.org/markup-compatibility/2006">
      <mc:Choice Requires="x14">
        <control shapeId="3203" r:id="rId128" name="VarPreSelect36">
          <controlPr defaultSize="0" autoLine="0" r:id="rId4">
            <anchor moveWithCells="1">
              <from>
                <xdr:col>3</xdr:col>
                <xdr:colOff>247650</xdr:colOff>
                <xdr:row>38</xdr:row>
                <xdr:rowOff>19050</xdr:rowOff>
              </from>
              <to>
                <xdr:col>3</xdr:col>
                <xdr:colOff>409575</xdr:colOff>
                <xdr:row>38</xdr:row>
                <xdr:rowOff>142875</xdr:rowOff>
              </to>
            </anchor>
          </controlPr>
        </control>
      </mc:Choice>
      <mc:Fallback>
        <control shapeId="3203" r:id="rId128" name="VarPreSelect36"/>
      </mc:Fallback>
    </mc:AlternateContent>
    <mc:AlternateContent xmlns:mc="http://schemas.openxmlformats.org/markup-compatibility/2006">
      <mc:Choice Requires="x14">
        <control shapeId="3204" r:id="rId129" name="VarPreSelect37">
          <controlPr defaultSize="0" autoLine="0" r:id="rId4">
            <anchor moveWithCells="1">
              <from>
                <xdr:col>3</xdr:col>
                <xdr:colOff>247650</xdr:colOff>
                <xdr:row>39</xdr:row>
                <xdr:rowOff>19050</xdr:rowOff>
              </from>
              <to>
                <xdr:col>3</xdr:col>
                <xdr:colOff>409575</xdr:colOff>
                <xdr:row>39</xdr:row>
                <xdr:rowOff>142875</xdr:rowOff>
              </to>
            </anchor>
          </controlPr>
        </control>
      </mc:Choice>
      <mc:Fallback>
        <control shapeId="3204" r:id="rId129" name="VarPreSelect37"/>
      </mc:Fallback>
    </mc:AlternateContent>
    <mc:AlternateContent xmlns:mc="http://schemas.openxmlformats.org/markup-compatibility/2006">
      <mc:Choice Requires="x14">
        <control shapeId="3205" r:id="rId130" name="VarPreSelect38">
          <controlPr defaultSize="0" autoLine="0" r:id="rId4">
            <anchor moveWithCells="1">
              <from>
                <xdr:col>3</xdr:col>
                <xdr:colOff>247650</xdr:colOff>
                <xdr:row>40</xdr:row>
                <xdr:rowOff>19050</xdr:rowOff>
              </from>
              <to>
                <xdr:col>3</xdr:col>
                <xdr:colOff>409575</xdr:colOff>
                <xdr:row>40</xdr:row>
                <xdr:rowOff>142875</xdr:rowOff>
              </to>
            </anchor>
          </controlPr>
        </control>
      </mc:Choice>
      <mc:Fallback>
        <control shapeId="3205" r:id="rId130" name="VarPreSelect38"/>
      </mc:Fallback>
    </mc:AlternateContent>
    <mc:AlternateContent xmlns:mc="http://schemas.openxmlformats.org/markup-compatibility/2006">
      <mc:Choice Requires="x14">
        <control shapeId="3206" r:id="rId131" name="VarPreSelect39">
          <controlPr defaultSize="0" autoLine="0" r:id="rId4">
            <anchor moveWithCells="1">
              <from>
                <xdr:col>3</xdr:col>
                <xdr:colOff>247650</xdr:colOff>
                <xdr:row>41</xdr:row>
                <xdr:rowOff>19050</xdr:rowOff>
              </from>
              <to>
                <xdr:col>3</xdr:col>
                <xdr:colOff>409575</xdr:colOff>
                <xdr:row>41</xdr:row>
                <xdr:rowOff>142875</xdr:rowOff>
              </to>
            </anchor>
          </controlPr>
        </control>
      </mc:Choice>
      <mc:Fallback>
        <control shapeId="3206" r:id="rId131" name="VarPreSelect39"/>
      </mc:Fallback>
    </mc:AlternateContent>
    <mc:AlternateContent xmlns:mc="http://schemas.openxmlformats.org/markup-compatibility/2006">
      <mc:Choice Requires="x14">
        <control shapeId="3207" r:id="rId132" name="VarPreSelect40">
          <controlPr defaultSize="0" autoLine="0" r:id="rId4">
            <anchor moveWithCells="1">
              <from>
                <xdr:col>3</xdr:col>
                <xdr:colOff>247650</xdr:colOff>
                <xdr:row>42</xdr:row>
                <xdr:rowOff>19050</xdr:rowOff>
              </from>
              <to>
                <xdr:col>3</xdr:col>
                <xdr:colOff>409575</xdr:colOff>
                <xdr:row>42</xdr:row>
                <xdr:rowOff>142875</xdr:rowOff>
              </to>
            </anchor>
          </controlPr>
        </control>
      </mc:Choice>
      <mc:Fallback>
        <control shapeId="3207" r:id="rId132" name="VarPreSelect40"/>
      </mc:Fallback>
    </mc:AlternateContent>
    <mc:AlternateContent xmlns:mc="http://schemas.openxmlformats.org/markup-compatibility/2006">
      <mc:Choice Requires="x14">
        <control shapeId="3208" r:id="rId133" name="VarPreSelect41">
          <controlPr defaultSize="0" autoLine="0" r:id="rId4">
            <anchor moveWithCells="1">
              <from>
                <xdr:col>3</xdr:col>
                <xdr:colOff>247650</xdr:colOff>
                <xdr:row>43</xdr:row>
                <xdr:rowOff>19050</xdr:rowOff>
              </from>
              <to>
                <xdr:col>3</xdr:col>
                <xdr:colOff>409575</xdr:colOff>
                <xdr:row>43</xdr:row>
                <xdr:rowOff>142875</xdr:rowOff>
              </to>
            </anchor>
          </controlPr>
        </control>
      </mc:Choice>
      <mc:Fallback>
        <control shapeId="3208" r:id="rId133" name="VarPreSelect41"/>
      </mc:Fallback>
    </mc:AlternateContent>
    <mc:AlternateContent xmlns:mc="http://schemas.openxmlformats.org/markup-compatibility/2006">
      <mc:Choice Requires="x14">
        <control shapeId="3209" r:id="rId134" name="VarPreSelect42">
          <controlPr defaultSize="0" autoLine="0" r:id="rId4">
            <anchor moveWithCells="1">
              <from>
                <xdr:col>3</xdr:col>
                <xdr:colOff>247650</xdr:colOff>
                <xdr:row>44</xdr:row>
                <xdr:rowOff>19050</xdr:rowOff>
              </from>
              <to>
                <xdr:col>3</xdr:col>
                <xdr:colOff>409575</xdr:colOff>
                <xdr:row>44</xdr:row>
                <xdr:rowOff>142875</xdr:rowOff>
              </to>
            </anchor>
          </controlPr>
        </control>
      </mc:Choice>
      <mc:Fallback>
        <control shapeId="3209" r:id="rId134" name="VarPreSelect42"/>
      </mc:Fallback>
    </mc:AlternateContent>
    <mc:AlternateContent xmlns:mc="http://schemas.openxmlformats.org/markup-compatibility/2006">
      <mc:Choice Requires="x14">
        <control shapeId="3210" r:id="rId135" name="VarPreSelect43">
          <controlPr defaultSize="0" autoLine="0" r:id="rId4">
            <anchor moveWithCells="1">
              <from>
                <xdr:col>3</xdr:col>
                <xdr:colOff>247650</xdr:colOff>
                <xdr:row>45</xdr:row>
                <xdr:rowOff>19050</xdr:rowOff>
              </from>
              <to>
                <xdr:col>3</xdr:col>
                <xdr:colOff>409575</xdr:colOff>
                <xdr:row>45</xdr:row>
                <xdr:rowOff>142875</xdr:rowOff>
              </to>
            </anchor>
          </controlPr>
        </control>
      </mc:Choice>
      <mc:Fallback>
        <control shapeId="3210" r:id="rId135" name="VarPreSelect43"/>
      </mc:Fallback>
    </mc:AlternateContent>
    <mc:AlternateContent xmlns:mc="http://schemas.openxmlformats.org/markup-compatibility/2006">
      <mc:Choice Requires="x14">
        <control shapeId="3211" r:id="rId136" name="VarPreSelect44">
          <controlPr defaultSize="0" autoLine="0" r:id="rId4">
            <anchor moveWithCells="1">
              <from>
                <xdr:col>3</xdr:col>
                <xdr:colOff>247650</xdr:colOff>
                <xdr:row>46</xdr:row>
                <xdr:rowOff>19050</xdr:rowOff>
              </from>
              <to>
                <xdr:col>3</xdr:col>
                <xdr:colOff>409575</xdr:colOff>
                <xdr:row>46</xdr:row>
                <xdr:rowOff>142875</xdr:rowOff>
              </to>
            </anchor>
          </controlPr>
        </control>
      </mc:Choice>
      <mc:Fallback>
        <control shapeId="3211" r:id="rId136" name="VarPreSelect44"/>
      </mc:Fallback>
    </mc:AlternateContent>
    <mc:AlternateContent xmlns:mc="http://schemas.openxmlformats.org/markup-compatibility/2006">
      <mc:Choice Requires="x14">
        <control shapeId="3212" r:id="rId137" name="VarPreSelect45">
          <controlPr defaultSize="0" autoLine="0" r:id="rId4">
            <anchor moveWithCells="1">
              <from>
                <xdr:col>3</xdr:col>
                <xdr:colOff>247650</xdr:colOff>
                <xdr:row>47</xdr:row>
                <xdr:rowOff>19050</xdr:rowOff>
              </from>
              <to>
                <xdr:col>3</xdr:col>
                <xdr:colOff>409575</xdr:colOff>
                <xdr:row>47</xdr:row>
                <xdr:rowOff>142875</xdr:rowOff>
              </to>
            </anchor>
          </controlPr>
        </control>
      </mc:Choice>
      <mc:Fallback>
        <control shapeId="3212" r:id="rId137" name="VarPreSelect45"/>
      </mc:Fallback>
    </mc:AlternateContent>
    <mc:AlternateContent xmlns:mc="http://schemas.openxmlformats.org/markup-compatibility/2006">
      <mc:Choice Requires="x14">
        <control shapeId="3213" r:id="rId138" name="VarPreSelect46">
          <controlPr defaultSize="0" autoLine="0" r:id="rId4">
            <anchor moveWithCells="1">
              <from>
                <xdr:col>3</xdr:col>
                <xdr:colOff>247650</xdr:colOff>
                <xdr:row>48</xdr:row>
                <xdr:rowOff>19050</xdr:rowOff>
              </from>
              <to>
                <xdr:col>3</xdr:col>
                <xdr:colOff>409575</xdr:colOff>
                <xdr:row>48</xdr:row>
                <xdr:rowOff>142875</xdr:rowOff>
              </to>
            </anchor>
          </controlPr>
        </control>
      </mc:Choice>
      <mc:Fallback>
        <control shapeId="3213" r:id="rId138" name="VarPreSelect46"/>
      </mc:Fallback>
    </mc:AlternateContent>
    <mc:AlternateContent xmlns:mc="http://schemas.openxmlformats.org/markup-compatibility/2006">
      <mc:Choice Requires="x14">
        <control shapeId="3214" r:id="rId139" name="VarPreSelect47">
          <controlPr defaultSize="0" autoLine="0" r:id="rId4">
            <anchor moveWithCells="1">
              <from>
                <xdr:col>3</xdr:col>
                <xdr:colOff>247650</xdr:colOff>
                <xdr:row>49</xdr:row>
                <xdr:rowOff>19050</xdr:rowOff>
              </from>
              <to>
                <xdr:col>3</xdr:col>
                <xdr:colOff>409575</xdr:colOff>
                <xdr:row>49</xdr:row>
                <xdr:rowOff>142875</xdr:rowOff>
              </to>
            </anchor>
          </controlPr>
        </control>
      </mc:Choice>
      <mc:Fallback>
        <control shapeId="3214" r:id="rId139" name="VarPreSelect47"/>
      </mc:Fallback>
    </mc:AlternateContent>
    <mc:AlternateContent xmlns:mc="http://schemas.openxmlformats.org/markup-compatibility/2006">
      <mc:Choice Requires="x14">
        <control shapeId="3215" r:id="rId140" name="VarPreSelect48">
          <controlPr defaultSize="0" autoLine="0" r:id="rId4">
            <anchor moveWithCells="1">
              <from>
                <xdr:col>3</xdr:col>
                <xdr:colOff>247650</xdr:colOff>
                <xdr:row>50</xdr:row>
                <xdr:rowOff>19050</xdr:rowOff>
              </from>
              <to>
                <xdr:col>3</xdr:col>
                <xdr:colOff>409575</xdr:colOff>
                <xdr:row>50</xdr:row>
                <xdr:rowOff>142875</xdr:rowOff>
              </to>
            </anchor>
          </controlPr>
        </control>
      </mc:Choice>
      <mc:Fallback>
        <control shapeId="3215" r:id="rId140" name="VarPreSelect48"/>
      </mc:Fallback>
    </mc:AlternateContent>
    <mc:AlternateContent xmlns:mc="http://schemas.openxmlformats.org/markup-compatibility/2006">
      <mc:Choice Requires="x14">
        <control shapeId="3216" r:id="rId141" name="VarPreSelect49">
          <controlPr defaultSize="0" autoLine="0" r:id="rId4">
            <anchor moveWithCells="1">
              <from>
                <xdr:col>3</xdr:col>
                <xdr:colOff>247650</xdr:colOff>
                <xdr:row>51</xdr:row>
                <xdr:rowOff>19050</xdr:rowOff>
              </from>
              <to>
                <xdr:col>3</xdr:col>
                <xdr:colOff>409575</xdr:colOff>
                <xdr:row>51</xdr:row>
                <xdr:rowOff>142875</xdr:rowOff>
              </to>
            </anchor>
          </controlPr>
        </control>
      </mc:Choice>
      <mc:Fallback>
        <control shapeId="3216" r:id="rId141" name="VarPreSelect49"/>
      </mc:Fallback>
    </mc:AlternateContent>
    <mc:AlternateContent xmlns:mc="http://schemas.openxmlformats.org/markup-compatibility/2006">
      <mc:Choice Requires="x14">
        <control shapeId="3217" r:id="rId142" name="VarPreSelect50">
          <controlPr defaultSize="0" autoLine="0" r:id="rId4">
            <anchor moveWithCells="1">
              <from>
                <xdr:col>3</xdr:col>
                <xdr:colOff>247650</xdr:colOff>
                <xdr:row>52</xdr:row>
                <xdr:rowOff>19050</xdr:rowOff>
              </from>
              <to>
                <xdr:col>3</xdr:col>
                <xdr:colOff>409575</xdr:colOff>
                <xdr:row>52</xdr:row>
                <xdr:rowOff>142875</xdr:rowOff>
              </to>
            </anchor>
          </controlPr>
        </control>
      </mc:Choice>
      <mc:Fallback>
        <control shapeId="3217" r:id="rId142" name="VarPreSelect50"/>
      </mc:Fallback>
    </mc:AlternateContent>
    <mc:AlternateContent xmlns:mc="http://schemas.openxmlformats.org/markup-compatibility/2006">
      <mc:Choice Requires="x14">
        <control shapeId="3218" r:id="rId143" name="VarPreSelect51">
          <controlPr defaultSize="0" autoLine="0" r:id="rId4">
            <anchor moveWithCells="1">
              <from>
                <xdr:col>3</xdr:col>
                <xdr:colOff>247650</xdr:colOff>
                <xdr:row>53</xdr:row>
                <xdr:rowOff>19050</xdr:rowOff>
              </from>
              <to>
                <xdr:col>3</xdr:col>
                <xdr:colOff>409575</xdr:colOff>
                <xdr:row>53</xdr:row>
                <xdr:rowOff>142875</xdr:rowOff>
              </to>
            </anchor>
          </controlPr>
        </control>
      </mc:Choice>
      <mc:Fallback>
        <control shapeId="3218" r:id="rId143" name="VarPreSelect51"/>
      </mc:Fallback>
    </mc:AlternateContent>
    <mc:AlternateContent xmlns:mc="http://schemas.openxmlformats.org/markup-compatibility/2006">
      <mc:Choice Requires="x14">
        <control shapeId="3219" r:id="rId144" name="VarPreSelect52">
          <controlPr defaultSize="0" autoLine="0" r:id="rId4">
            <anchor moveWithCells="1">
              <from>
                <xdr:col>3</xdr:col>
                <xdr:colOff>247650</xdr:colOff>
                <xdr:row>54</xdr:row>
                <xdr:rowOff>19050</xdr:rowOff>
              </from>
              <to>
                <xdr:col>3</xdr:col>
                <xdr:colOff>409575</xdr:colOff>
                <xdr:row>54</xdr:row>
                <xdr:rowOff>142875</xdr:rowOff>
              </to>
            </anchor>
          </controlPr>
        </control>
      </mc:Choice>
      <mc:Fallback>
        <control shapeId="3219" r:id="rId144" name="VarPreSelect52"/>
      </mc:Fallback>
    </mc:AlternateContent>
    <mc:AlternateContent xmlns:mc="http://schemas.openxmlformats.org/markup-compatibility/2006">
      <mc:Choice Requires="x14">
        <control shapeId="3220" r:id="rId145" name="VarPreSelect53">
          <controlPr defaultSize="0" autoLine="0" r:id="rId4">
            <anchor moveWithCells="1">
              <from>
                <xdr:col>3</xdr:col>
                <xdr:colOff>247650</xdr:colOff>
                <xdr:row>55</xdr:row>
                <xdr:rowOff>19050</xdr:rowOff>
              </from>
              <to>
                <xdr:col>3</xdr:col>
                <xdr:colOff>409575</xdr:colOff>
                <xdr:row>55</xdr:row>
                <xdr:rowOff>142875</xdr:rowOff>
              </to>
            </anchor>
          </controlPr>
        </control>
      </mc:Choice>
      <mc:Fallback>
        <control shapeId="3220" r:id="rId145" name="VarPreSelect53"/>
      </mc:Fallback>
    </mc:AlternateContent>
    <mc:AlternateContent xmlns:mc="http://schemas.openxmlformats.org/markup-compatibility/2006">
      <mc:Choice Requires="x14">
        <control shapeId="3221" r:id="rId146" name="VarPreSelect54">
          <controlPr defaultSize="0" autoLine="0" r:id="rId4">
            <anchor moveWithCells="1">
              <from>
                <xdr:col>3</xdr:col>
                <xdr:colOff>247650</xdr:colOff>
                <xdr:row>56</xdr:row>
                <xdr:rowOff>19050</xdr:rowOff>
              </from>
              <to>
                <xdr:col>3</xdr:col>
                <xdr:colOff>409575</xdr:colOff>
                <xdr:row>56</xdr:row>
                <xdr:rowOff>142875</xdr:rowOff>
              </to>
            </anchor>
          </controlPr>
        </control>
      </mc:Choice>
      <mc:Fallback>
        <control shapeId="3221" r:id="rId146" name="VarPreSelect54"/>
      </mc:Fallback>
    </mc:AlternateContent>
    <mc:AlternateContent xmlns:mc="http://schemas.openxmlformats.org/markup-compatibility/2006">
      <mc:Choice Requires="x14">
        <control shapeId="3222" r:id="rId147" name="VarPreSelect55">
          <controlPr defaultSize="0" autoLine="0" r:id="rId4">
            <anchor moveWithCells="1">
              <from>
                <xdr:col>3</xdr:col>
                <xdr:colOff>247650</xdr:colOff>
                <xdr:row>57</xdr:row>
                <xdr:rowOff>19050</xdr:rowOff>
              </from>
              <to>
                <xdr:col>3</xdr:col>
                <xdr:colOff>409575</xdr:colOff>
                <xdr:row>57</xdr:row>
                <xdr:rowOff>142875</xdr:rowOff>
              </to>
            </anchor>
          </controlPr>
        </control>
      </mc:Choice>
      <mc:Fallback>
        <control shapeId="3222" r:id="rId147" name="VarPreSelect55"/>
      </mc:Fallback>
    </mc:AlternateContent>
    <mc:AlternateContent xmlns:mc="http://schemas.openxmlformats.org/markup-compatibility/2006">
      <mc:Choice Requires="x14">
        <control shapeId="3223" r:id="rId148" name="VarPreSelect56">
          <controlPr defaultSize="0" autoLine="0" r:id="rId4">
            <anchor moveWithCells="1">
              <from>
                <xdr:col>3</xdr:col>
                <xdr:colOff>247650</xdr:colOff>
                <xdr:row>58</xdr:row>
                <xdr:rowOff>19050</xdr:rowOff>
              </from>
              <to>
                <xdr:col>3</xdr:col>
                <xdr:colOff>409575</xdr:colOff>
                <xdr:row>58</xdr:row>
                <xdr:rowOff>142875</xdr:rowOff>
              </to>
            </anchor>
          </controlPr>
        </control>
      </mc:Choice>
      <mc:Fallback>
        <control shapeId="3223" r:id="rId148" name="VarPreSelect56"/>
      </mc:Fallback>
    </mc:AlternateContent>
    <mc:AlternateContent xmlns:mc="http://schemas.openxmlformats.org/markup-compatibility/2006">
      <mc:Choice Requires="x14">
        <control shapeId="3224" r:id="rId149" name="VarPreSelect57">
          <controlPr defaultSize="0" autoLine="0" r:id="rId4">
            <anchor moveWithCells="1">
              <from>
                <xdr:col>3</xdr:col>
                <xdr:colOff>247650</xdr:colOff>
                <xdr:row>59</xdr:row>
                <xdr:rowOff>19050</xdr:rowOff>
              </from>
              <to>
                <xdr:col>3</xdr:col>
                <xdr:colOff>409575</xdr:colOff>
                <xdr:row>59</xdr:row>
                <xdr:rowOff>142875</xdr:rowOff>
              </to>
            </anchor>
          </controlPr>
        </control>
      </mc:Choice>
      <mc:Fallback>
        <control shapeId="3224" r:id="rId149" name="VarPreSelect57"/>
      </mc:Fallback>
    </mc:AlternateContent>
    <mc:AlternateContent xmlns:mc="http://schemas.openxmlformats.org/markup-compatibility/2006">
      <mc:Choice Requires="x14">
        <control shapeId="3225" r:id="rId150" name="VarPreSelect58">
          <controlPr defaultSize="0" autoLine="0" r:id="rId4">
            <anchor moveWithCells="1">
              <from>
                <xdr:col>3</xdr:col>
                <xdr:colOff>247650</xdr:colOff>
                <xdr:row>60</xdr:row>
                <xdr:rowOff>19050</xdr:rowOff>
              </from>
              <to>
                <xdr:col>3</xdr:col>
                <xdr:colOff>409575</xdr:colOff>
                <xdr:row>60</xdr:row>
                <xdr:rowOff>142875</xdr:rowOff>
              </to>
            </anchor>
          </controlPr>
        </control>
      </mc:Choice>
      <mc:Fallback>
        <control shapeId="3225" r:id="rId150" name="VarPreSelect58"/>
      </mc:Fallback>
    </mc:AlternateContent>
    <mc:AlternateContent xmlns:mc="http://schemas.openxmlformats.org/markup-compatibility/2006">
      <mc:Choice Requires="x14">
        <control shapeId="3226" r:id="rId151" name="VarPreSelect59">
          <controlPr defaultSize="0" autoLine="0" r:id="rId4">
            <anchor moveWithCells="1">
              <from>
                <xdr:col>3</xdr:col>
                <xdr:colOff>247650</xdr:colOff>
                <xdr:row>61</xdr:row>
                <xdr:rowOff>19050</xdr:rowOff>
              </from>
              <to>
                <xdr:col>3</xdr:col>
                <xdr:colOff>409575</xdr:colOff>
                <xdr:row>61</xdr:row>
                <xdr:rowOff>142875</xdr:rowOff>
              </to>
            </anchor>
          </controlPr>
        </control>
      </mc:Choice>
      <mc:Fallback>
        <control shapeId="3226" r:id="rId151" name="VarPreSelect59"/>
      </mc:Fallback>
    </mc:AlternateContent>
    <mc:AlternateContent xmlns:mc="http://schemas.openxmlformats.org/markup-compatibility/2006">
      <mc:Choice Requires="x14">
        <control shapeId="3227" r:id="rId152" name="VarPreSelect60">
          <controlPr defaultSize="0" autoLine="0" r:id="rId4">
            <anchor moveWithCells="1">
              <from>
                <xdr:col>3</xdr:col>
                <xdr:colOff>247650</xdr:colOff>
                <xdr:row>62</xdr:row>
                <xdr:rowOff>19050</xdr:rowOff>
              </from>
              <to>
                <xdr:col>3</xdr:col>
                <xdr:colOff>409575</xdr:colOff>
                <xdr:row>62</xdr:row>
                <xdr:rowOff>142875</xdr:rowOff>
              </to>
            </anchor>
          </controlPr>
        </control>
      </mc:Choice>
      <mc:Fallback>
        <control shapeId="3227" r:id="rId152" name="VarPreSelect60"/>
      </mc:Fallback>
    </mc:AlternateContent>
    <mc:AlternateContent xmlns:mc="http://schemas.openxmlformats.org/markup-compatibility/2006">
      <mc:Choice Requires="x14">
        <control shapeId="3228" r:id="rId153" name="VarPreSelect61">
          <controlPr defaultSize="0" autoLine="0" r:id="rId4">
            <anchor moveWithCells="1">
              <from>
                <xdr:col>3</xdr:col>
                <xdr:colOff>247650</xdr:colOff>
                <xdr:row>63</xdr:row>
                <xdr:rowOff>19050</xdr:rowOff>
              </from>
              <to>
                <xdr:col>3</xdr:col>
                <xdr:colOff>409575</xdr:colOff>
                <xdr:row>63</xdr:row>
                <xdr:rowOff>142875</xdr:rowOff>
              </to>
            </anchor>
          </controlPr>
        </control>
      </mc:Choice>
      <mc:Fallback>
        <control shapeId="3228" r:id="rId153" name="VarPreSelect61"/>
      </mc:Fallback>
    </mc:AlternateContent>
    <mc:AlternateContent xmlns:mc="http://schemas.openxmlformats.org/markup-compatibility/2006">
      <mc:Choice Requires="x14">
        <control shapeId="3229" r:id="rId154" name="VarPreSelect62">
          <controlPr defaultSize="0" autoLine="0" r:id="rId4">
            <anchor moveWithCells="1">
              <from>
                <xdr:col>3</xdr:col>
                <xdr:colOff>247650</xdr:colOff>
                <xdr:row>64</xdr:row>
                <xdr:rowOff>19050</xdr:rowOff>
              </from>
              <to>
                <xdr:col>3</xdr:col>
                <xdr:colOff>409575</xdr:colOff>
                <xdr:row>64</xdr:row>
                <xdr:rowOff>142875</xdr:rowOff>
              </to>
            </anchor>
          </controlPr>
        </control>
      </mc:Choice>
      <mc:Fallback>
        <control shapeId="3229" r:id="rId154" name="VarPreSelect62"/>
      </mc:Fallback>
    </mc:AlternateContent>
    <mc:AlternateContent xmlns:mc="http://schemas.openxmlformats.org/markup-compatibility/2006">
      <mc:Choice Requires="x14">
        <control shapeId="3230" r:id="rId155" name="VarPreSelect63">
          <controlPr defaultSize="0" autoLine="0" r:id="rId4">
            <anchor moveWithCells="1">
              <from>
                <xdr:col>3</xdr:col>
                <xdr:colOff>247650</xdr:colOff>
                <xdr:row>65</xdr:row>
                <xdr:rowOff>19050</xdr:rowOff>
              </from>
              <to>
                <xdr:col>3</xdr:col>
                <xdr:colOff>409575</xdr:colOff>
                <xdr:row>65</xdr:row>
                <xdr:rowOff>142875</xdr:rowOff>
              </to>
            </anchor>
          </controlPr>
        </control>
      </mc:Choice>
      <mc:Fallback>
        <control shapeId="3230" r:id="rId155" name="VarPreSelect63"/>
      </mc:Fallback>
    </mc:AlternateContent>
    <mc:AlternateContent xmlns:mc="http://schemas.openxmlformats.org/markup-compatibility/2006">
      <mc:Choice Requires="x14">
        <control shapeId="3231" r:id="rId156" name="VarPreSelect64">
          <controlPr defaultSize="0" autoLine="0" r:id="rId4">
            <anchor moveWithCells="1">
              <from>
                <xdr:col>3</xdr:col>
                <xdr:colOff>247650</xdr:colOff>
                <xdr:row>66</xdr:row>
                <xdr:rowOff>19050</xdr:rowOff>
              </from>
              <to>
                <xdr:col>3</xdr:col>
                <xdr:colOff>409575</xdr:colOff>
                <xdr:row>66</xdr:row>
                <xdr:rowOff>142875</xdr:rowOff>
              </to>
            </anchor>
          </controlPr>
        </control>
      </mc:Choice>
      <mc:Fallback>
        <control shapeId="3231" r:id="rId156" name="VarPreSelect64"/>
      </mc:Fallback>
    </mc:AlternateContent>
    <mc:AlternateContent xmlns:mc="http://schemas.openxmlformats.org/markup-compatibility/2006">
      <mc:Choice Requires="x14">
        <control shapeId="3232" r:id="rId157" name="VarPreSelect65">
          <controlPr defaultSize="0" autoLine="0" r:id="rId4">
            <anchor moveWithCells="1">
              <from>
                <xdr:col>3</xdr:col>
                <xdr:colOff>247650</xdr:colOff>
                <xdr:row>67</xdr:row>
                <xdr:rowOff>19050</xdr:rowOff>
              </from>
              <to>
                <xdr:col>3</xdr:col>
                <xdr:colOff>409575</xdr:colOff>
                <xdr:row>67</xdr:row>
                <xdr:rowOff>142875</xdr:rowOff>
              </to>
            </anchor>
          </controlPr>
        </control>
      </mc:Choice>
      <mc:Fallback>
        <control shapeId="3232" r:id="rId157" name="VarPreSelect65"/>
      </mc:Fallback>
    </mc:AlternateContent>
    <mc:AlternateContent xmlns:mc="http://schemas.openxmlformats.org/markup-compatibility/2006">
      <mc:Choice Requires="x14">
        <control shapeId="3233" r:id="rId158" name="VarPreSelect66">
          <controlPr defaultSize="0" autoLine="0" r:id="rId4">
            <anchor moveWithCells="1">
              <from>
                <xdr:col>3</xdr:col>
                <xdr:colOff>247650</xdr:colOff>
                <xdr:row>68</xdr:row>
                <xdr:rowOff>19050</xdr:rowOff>
              </from>
              <to>
                <xdr:col>3</xdr:col>
                <xdr:colOff>409575</xdr:colOff>
                <xdr:row>68</xdr:row>
                <xdr:rowOff>142875</xdr:rowOff>
              </to>
            </anchor>
          </controlPr>
        </control>
      </mc:Choice>
      <mc:Fallback>
        <control shapeId="3233" r:id="rId158" name="VarPreSelect66"/>
      </mc:Fallback>
    </mc:AlternateContent>
    <mc:AlternateContent xmlns:mc="http://schemas.openxmlformats.org/markup-compatibility/2006">
      <mc:Choice Requires="x14">
        <control shapeId="3234" r:id="rId159" name="VarPreSelect67">
          <controlPr defaultSize="0" autoLine="0" r:id="rId4">
            <anchor moveWithCells="1">
              <from>
                <xdr:col>3</xdr:col>
                <xdr:colOff>247650</xdr:colOff>
                <xdr:row>69</xdr:row>
                <xdr:rowOff>19050</xdr:rowOff>
              </from>
              <to>
                <xdr:col>3</xdr:col>
                <xdr:colOff>409575</xdr:colOff>
                <xdr:row>69</xdr:row>
                <xdr:rowOff>142875</xdr:rowOff>
              </to>
            </anchor>
          </controlPr>
        </control>
      </mc:Choice>
      <mc:Fallback>
        <control shapeId="3234" r:id="rId159" name="VarPreSelect67"/>
      </mc:Fallback>
    </mc:AlternateContent>
    <mc:AlternateContent xmlns:mc="http://schemas.openxmlformats.org/markup-compatibility/2006">
      <mc:Choice Requires="x14">
        <control shapeId="3235" r:id="rId160" name="VarPreSelect68">
          <controlPr defaultSize="0" autoLine="0" r:id="rId4">
            <anchor moveWithCells="1">
              <from>
                <xdr:col>3</xdr:col>
                <xdr:colOff>247650</xdr:colOff>
                <xdr:row>70</xdr:row>
                <xdr:rowOff>19050</xdr:rowOff>
              </from>
              <to>
                <xdr:col>3</xdr:col>
                <xdr:colOff>409575</xdr:colOff>
                <xdr:row>70</xdr:row>
                <xdr:rowOff>142875</xdr:rowOff>
              </to>
            </anchor>
          </controlPr>
        </control>
      </mc:Choice>
      <mc:Fallback>
        <control shapeId="3235" r:id="rId160" name="VarPreSelect68"/>
      </mc:Fallback>
    </mc:AlternateContent>
    <mc:AlternateContent xmlns:mc="http://schemas.openxmlformats.org/markup-compatibility/2006">
      <mc:Choice Requires="x14">
        <control shapeId="3236" r:id="rId161" name="VarPreSelect69">
          <controlPr defaultSize="0" autoLine="0" r:id="rId4">
            <anchor moveWithCells="1">
              <from>
                <xdr:col>3</xdr:col>
                <xdr:colOff>247650</xdr:colOff>
                <xdr:row>71</xdr:row>
                <xdr:rowOff>19050</xdr:rowOff>
              </from>
              <to>
                <xdr:col>3</xdr:col>
                <xdr:colOff>409575</xdr:colOff>
                <xdr:row>71</xdr:row>
                <xdr:rowOff>142875</xdr:rowOff>
              </to>
            </anchor>
          </controlPr>
        </control>
      </mc:Choice>
      <mc:Fallback>
        <control shapeId="3236" r:id="rId161" name="VarPreSelect69"/>
      </mc:Fallback>
    </mc:AlternateContent>
    <mc:AlternateContent xmlns:mc="http://schemas.openxmlformats.org/markup-compatibility/2006">
      <mc:Choice Requires="x14">
        <control shapeId="3237" r:id="rId162" name="VarPreSelect70">
          <controlPr defaultSize="0" autoLine="0" r:id="rId4">
            <anchor moveWithCells="1">
              <from>
                <xdr:col>3</xdr:col>
                <xdr:colOff>247650</xdr:colOff>
                <xdr:row>72</xdr:row>
                <xdr:rowOff>19050</xdr:rowOff>
              </from>
              <to>
                <xdr:col>3</xdr:col>
                <xdr:colOff>409575</xdr:colOff>
                <xdr:row>72</xdr:row>
                <xdr:rowOff>142875</xdr:rowOff>
              </to>
            </anchor>
          </controlPr>
        </control>
      </mc:Choice>
      <mc:Fallback>
        <control shapeId="3237" r:id="rId162" name="VarPreSelect70"/>
      </mc:Fallback>
    </mc:AlternateContent>
    <mc:AlternateContent xmlns:mc="http://schemas.openxmlformats.org/markup-compatibility/2006">
      <mc:Choice Requires="x14">
        <control shapeId="3238" r:id="rId163" name="VarPreSelect71">
          <controlPr defaultSize="0" autoLine="0" r:id="rId4">
            <anchor moveWithCells="1">
              <from>
                <xdr:col>3</xdr:col>
                <xdr:colOff>247650</xdr:colOff>
                <xdr:row>73</xdr:row>
                <xdr:rowOff>19050</xdr:rowOff>
              </from>
              <to>
                <xdr:col>3</xdr:col>
                <xdr:colOff>409575</xdr:colOff>
                <xdr:row>73</xdr:row>
                <xdr:rowOff>142875</xdr:rowOff>
              </to>
            </anchor>
          </controlPr>
        </control>
      </mc:Choice>
      <mc:Fallback>
        <control shapeId="3238" r:id="rId163" name="VarPreSelect71"/>
      </mc:Fallback>
    </mc:AlternateContent>
    <mc:AlternateContent xmlns:mc="http://schemas.openxmlformats.org/markup-compatibility/2006">
      <mc:Choice Requires="x14">
        <control shapeId="3239" r:id="rId164" name="VarPreSelect72">
          <controlPr defaultSize="0" autoLine="0" r:id="rId4">
            <anchor moveWithCells="1">
              <from>
                <xdr:col>3</xdr:col>
                <xdr:colOff>247650</xdr:colOff>
                <xdr:row>74</xdr:row>
                <xdr:rowOff>19050</xdr:rowOff>
              </from>
              <to>
                <xdr:col>3</xdr:col>
                <xdr:colOff>409575</xdr:colOff>
                <xdr:row>74</xdr:row>
                <xdr:rowOff>142875</xdr:rowOff>
              </to>
            </anchor>
          </controlPr>
        </control>
      </mc:Choice>
      <mc:Fallback>
        <control shapeId="3239" r:id="rId164" name="VarPreSelect72"/>
      </mc:Fallback>
    </mc:AlternateContent>
    <mc:AlternateContent xmlns:mc="http://schemas.openxmlformats.org/markup-compatibility/2006">
      <mc:Choice Requires="x14">
        <control shapeId="3240" r:id="rId165" name="VarPreSelect73">
          <controlPr defaultSize="0" autoLine="0" r:id="rId4">
            <anchor moveWithCells="1">
              <from>
                <xdr:col>3</xdr:col>
                <xdr:colOff>247650</xdr:colOff>
                <xdr:row>75</xdr:row>
                <xdr:rowOff>19050</xdr:rowOff>
              </from>
              <to>
                <xdr:col>3</xdr:col>
                <xdr:colOff>409575</xdr:colOff>
                <xdr:row>75</xdr:row>
                <xdr:rowOff>142875</xdr:rowOff>
              </to>
            </anchor>
          </controlPr>
        </control>
      </mc:Choice>
      <mc:Fallback>
        <control shapeId="3240" r:id="rId165" name="VarPreSelect73"/>
      </mc:Fallback>
    </mc:AlternateContent>
    <mc:AlternateContent xmlns:mc="http://schemas.openxmlformats.org/markup-compatibility/2006">
      <mc:Choice Requires="x14">
        <control shapeId="3241" r:id="rId166" name="VarPreSelect74">
          <controlPr defaultSize="0" autoLine="0" r:id="rId4">
            <anchor moveWithCells="1">
              <from>
                <xdr:col>3</xdr:col>
                <xdr:colOff>247650</xdr:colOff>
                <xdr:row>76</xdr:row>
                <xdr:rowOff>19050</xdr:rowOff>
              </from>
              <to>
                <xdr:col>3</xdr:col>
                <xdr:colOff>409575</xdr:colOff>
                <xdr:row>76</xdr:row>
                <xdr:rowOff>142875</xdr:rowOff>
              </to>
            </anchor>
          </controlPr>
        </control>
      </mc:Choice>
      <mc:Fallback>
        <control shapeId="3241" r:id="rId166" name="VarPreSelect74"/>
      </mc:Fallback>
    </mc:AlternateContent>
    <mc:AlternateContent xmlns:mc="http://schemas.openxmlformats.org/markup-compatibility/2006">
      <mc:Choice Requires="x14">
        <control shapeId="3242" r:id="rId167" name="VarPreSelect75">
          <controlPr defaultSize="0" autoLine="0" r:id="rId4">
            <anchor moveWithCells="1">
              <from>
                <xdr:col>3</xdr:col>
                <xdr:colOff>247650</xdr:colOff>
                <xdr:row>77</xdr:row>
                <xdr:rowOff>19050</xdr:rowOff>
              </from>
              <to>
                <xdr:col>3</xdr:col>
                <xdr:colOff>409575</xdr:colOff>
                <xdr:row>77</xdr:row>
                <xdr:rowOff>142875</xdr:rowOff>
              </to>
            </anchor>
          </controlPr>
        </control>
      </mc:Choice>
      <mc:Fallback>
        <control shapeId="3242" r:id="rId167" name="VarPreSelect75"/>
      </mc:Fallback>
    </mc:AlternateContent>
    <mc:AlternateContent xmlns:mc="http://schemas.openxmlformats.org/markup-compatibility/2006">
      <mc:Choice Requires="x14">
        <control shapeId="3243" r:id="rId168" name="VarPreSelect76">
          <controlPr defaultSize="0" autoLine="0" r:id="rId4">
            <anchor moveWithCells="1">
              <from>
                <xdr:col>3</xdr:col>
                <xdr:colOff>247650</xdr:colOff>
                <xdr:row>78</xdr:row>
                <xdr:rowOff>19050</xdr:rowOff>
              </from>
              <to>
                <xdr:col>3</xdr:col>
                <xdr:colOff>409575</xdr:colOff>
                <xdr:row>78</xdr:row>
                <xdr:rowOff>142875</xdr:rowOff>
              </to>
            </anchor>
          </controlPr>
        </control>
      </mc:Choice>
      <mc:Fallback>
        <control shapeId="3243" r:id="rId168" name="VarPreSelect76"/>
      </mc:Fallback>
    </mc:AlternateContent>
    <mc:AlternateContent xmlns:mc="http://schemas.openxmlformats.org/markup-compatibility/2006">
      <mc:Choice Requires="x14">
        <control shapeId="3244" r:id="rId169" name="VarPreSelect77">
          <controlPr defaultSize="0" autoLine="0" r:id="rId4">
            <anchor moveWithCells="1">
              <from>
                <xdr:col>3</xdr:col>
                <xdr:colOff>247650</xdr:colOff>
                <xdr:row>79</xdr:row>
                <xdr:rowOff>19050</xdr:rowOff>
              </from>
              <to>
                <xdr:col>3</xdr:col>
                <xdr:colOff>409575</xdr:colOff>
                <xdr:row>79</xdr:row>
                <xdr:rowOff>142875</xdr:rowOff>
              </to>
            </anchor>
          </controlPr>
        </control>
      </mc:Choice>
      <mc:Fallback>
        <control shapeId="3244" r:id="rId169" name="VarPreSelect77"/>
      </mc:Fallback>
    </mc:AlternateContent>
    <mc:AlternateContent xmlns:mc="http://schemas.openxmlformats.org/markup-compatibility/2006">
      <mc:Choice Requires="x14">
        <control shapeId="3245" r:id="rId170" name="VarPreSelect78">
          <controlPr defaultSize="0" autoLine="0" r:id="rId4">
            <anchor moveWithCells="1">
              <from>
                <xdr:col>3</xdr:col>
                <xdr:colOff>247650</xdr:colOff>
                <xdr:row>80</xdr:row>
                <xdr:rowOff>19050</xdr:rowOff>
              </from>
              <to>
                <xdr:col>3</xdr:col>
                <xdr:colOff>409575</xdr:colOff>
                <xdr:row>80</xdr:row>
                <xdr:rowOff>142875</xdr:rowOff>
              </to>
            </anchor>
          </controlPr>
        </control>
      </mc:Choice>
      <mc:Fallback>
        <control shapeId="3245" r:id="rId170" name="VarPreSelect78"/>
      </mc:Fallback>
    </mc:AlternateContent>
    <mc:AlternateContent xmlns:mc="http://schemas.openxmlformats.org/markup-compatibility/2006">
      <mc:Choice Requires="x14">
        <control shapeId="3246" r:id="rId171" name="VarPreSelect79">
          <controlPr defaultSize="0" autoLine="0" r:id="rId4">
            <anchor moveWithCells="1">
              <from>
                <xdr:col>3</xdr:col>
                <xdr:colOff>247650</xdr:colOff>
                <xdr:row>81</xdr:row>
                <xdr:rowOff>19050</xdr:rowOff>
              </from>
              <to>
                <xdr:col>3</xdr:col>
                <xdr:colOff>409575</xdr:colOff>
                <xdr:row>81</xdr:row>
                <xdr:rowOff>142875</xdr:rowOff>
              </to>
            </anchor>
          </controlPr>
        </control>
      </mc:Choice>
      <mc:Fallback>
        <control shapeId="3246" r:id="rId171" name="VarPreSelect79"/>
      </mc:Fallback>
    </mc:AlternateContent>
    <mc:AlternateContent xmlns:mc="http://schemas.openxmlformats.org/markup-compatibility/2006">
      <mc:Choice Requires="x14">
        <control shapeId="3247" r:id="rId172" name="VarPreSelect80">
          <controlPr defaultSize="0" autoLine="0" r:id="rId4">
            <anchor moveWithCells="1">
              <from>
                <xdr:col>3</xdr:col>
                <xdr:colOff>247650</xdr:colOff>
                <xdr:row>82</xdr:row>
                <xdr:rowOff>19050</xdr:rowOff>
              </from>
              <to>
                <xdr:col>3</xdr:col>
                <xdr:colOff>409575</xdr:colOff>
                <xdr:row>82</xdr:row>
                <xdr:rowOff>142875</xdr:rowOff>
              </to>
            </anchor>
          </controlPr>
        </control>
      </mc:Choice>
      <mc:Fallback>
        <control shapeId="3247" r:id="rId172" name="VarPreSelect80"/>
      </mc:Fallback>
    </mc:AlternateContent>
    <mc:AlternateContent xmlns:mc="http://schemas.openxmlformats.org/markup-compatibility/2006">
      <mc:Choice Requires="x14">
        <control shapeId="3248" r:id="rId173" name="VarPreSelect81">
          <controlPr defaultSize="0" autoLine="0" r:id="rId4">
            <anchor moveWithCells="1">
              <from>
                <xdr:col>3</xdr:col>
                <xdr:colOff>247650</xdr:colOff>
                <xdr:row>83</xdr:row>
                <xdr:rowOff>19050</xdr:rowOff>
              </from>
              <to>
                <xdr:col>3</xdr:col>
                <xdr:colOff>409575</xdr:colOff>
                <xdr:row>83</xdr:row>
                <xdr:rowOff>142875</xdr:rowOff>
              </to>
            </anchor>
          </controlPr>
        </control>
      </mc:Choice>
      <mc:Fallback>
        <control shapeId="3248" r:id="rId173" name="VarPreSelect81"/>
      </mc:Fallback>
    </mc:AlternateContent>
    <mc:AlternateContent xmlns:mc="http://schemas.openxmlformats.org/markup-compatibility/2006">
      <mc:Choice Requires="x14">
        <control shapeId="3249" r:id="rId174" name="VarPreSelect82">
          <controlPr defaultSize="0" autoLine="0" r:id="rId4">
            <anchor moveWithCells="1">
              <from>
                <xdr:col>3</xdr:col>
                <xdr:colOff>247650</xdr:colOff>
                <xdr:row>84</xdr:row>
                <xdr:rowOff>19050</xdr:rowOff>
              </from>
              <to>
                <xdr:col>3</xdr:col>
                <xdr:colOff>409575</xdr:colOff>
                <xdr:row>84</xdr:row>
                <xdr:rowOff>142875</xdr:rowOff>
              </to>
            </anchor>
          </controlPr>
        </control>
      </mc:Choice>
      <mc:Fallback>
        <control shapeId="3249" r:id="rId174" name="VarPreSelect82"/>
      </mc:Fallback>
    </mc:AlternateContent>
    <mc:AlternateContent xmlns:mc="http://schemas.openxmlformats.org/markup-compatibility/2006">
      <mc:Choice Requires="x14">
        <control shapeId="3250" r:id="rId175" name="VarPreSelect83">
          <controlPr defaultSize="0" autoLine="0" r:id="rId4">
            <anchor moveWithCells="1">
              <from>
                <xdr:col>3</xdr:col>
                <xdr:colOff>247650</xdr:colOff>
                <xdr:row>85</xdr:row>
                <xdr:rowOff>19050</xdr:rowOff>
              </from>
              <to>
                <xdr:col>3</xdr:col>
                <xdr:colOff>409575</xdr:colOff>
                <xdr:row>85</xdr:row>
                <xdr:rowOff>142875</xdr:rowOff>
              </to>
            </anchor>
          </controlPr>
        </control>
      </mc:Choice>
      <mc:Fallback>
        <control shapeId="3250" r:id="rId175" name="VarPreSelect83"/>
      </mc:Fallback>
    </mc:AlternateContent>
    <mc:AlternateContent xmlns:mc="http://schemas.openxmlformats.org/markup-compatibility/2006">
      <mc:Choice Requires="x14">
        <control shapeId="3251" r:id="rId176" name="VarPreSelect84">
          <controlPr defaultSize="0" autoLine="0" r:id="rId4">
            <anchor moveWithCells="1">
              <from>
                <xdr:col>3</xdr:col>
                <xdr:colOff>247650</xdr:colOff>
                <xdr:row>86</xdr:row>
                <xdr:rowOff>19050</xdr:rowOff>
              </from>
              <to>
                <xdr:col>3</xdr:col>
                <xdr:colOff>409575</xdr:colOff>
                <xdr:row>86</xdr:row>
                <xdr:rowOff>142875</xdr:rowOff>
              </to>
            </anchor>
          </controlPr>
        </control>
      </mc:Choice>
      <mc:Fallback>
        <control shapeId="3251" r:id="rId176" name="VarPreSelect84"/>
      </mc:Fallback>
    </mc:AlternateContent>
    <mc:AlternateContent xmlns:mc="http://schemas.openxmlformats.org/markup-compatibility/2006">
      <mc:Choice Requires="x14">
        <control shapeId="3252" r:id="rId177" name="VarPreSelect85">
          <controlPr defaultSize="0" autoLine="0" r:id="rId4">
            <anchor moveWithCells="1">
              <from>
                <xdr:col>3</xdr:col>
                <xdr:colOff>247650</xdr:colOff>
                <xdr:row>87</xdr:row>
                <xdr:rowOff>19050</xdr:rowOff>
              </from>
              <to>
                <xdr:col>3</xdr:col>
                <xdr:colOff>409575</xdr:colOff>
                <xdr:row>87</xdr:row>
                <xdr:rowOff>142875</xdr:rowOff>
              </to>
            </anchor>
          </controlPr>
        </control>
      </mc:Choice>
      <mc:Fallback>
        <control shapeId="3252" r:id="rId177" name="VarPreSelect85"/>
      </mc:Fallback>
    </mc:AlternateContent>
    <mc:AlternateContent xmlns:mc="http://schemas.openxmlformats.org/markup-compatibility/2006">
      <mc:Choice Requires="x14">
        <control shapeId="3253" r:id="rId178" name="VarPreSelect86">
          <controlPr defaultSize="0" autoLine="0" r:id="rId4">
            <anchor moveWithCells="1">
              <from>
                <xdr:col>3</xdr:col>
                <xdr:colOff>247650</xdr:colOff>
                <xdr:row>88</xdr:row>
                <xdr:rowOff>19050</xdr:rowOff>
              </from>
              <to>
                <xdr:col>3</xdr:col>
                <xdr:colOff>409575</xdr:colOff>
                <xdr:row>88</xdr:row>
                <xdr:rowOff>142875</xdr:rowOff>
              </to>
            </anchor>
          </controlPr>
        </control>
      </mc:Choice>
      <mc:Fallback>
        <control shapeId="3253" r:id="rId178" name="VarPreSelect86"/>
      </mc:Fallback>
    </mc:AlternateContent>
    <mc:AlternateContent xmlns:mc="http://schemas.openxmlformats.org/markup-compatibility/2006">
      <mc:Choice Requires="x14">
        <control shapeId="3254" r:id="rId179" name="VarPreSelect87">
          <controlPr defaultSize="0" autoLine="0" r:id="rId4">
            <anchor moveWithCells="1">
              <from>
                <xdr:col>3</xdr:col>
                <xdr:colOff>247650</xdr:colOff>
                <xdr:row>89</xdr:row>
                <xdr:rowOff>19050</xdr:rowOff>
              </from>
              <to>
                <xdr:col>3</xdr:col>
                <xdr:colOff>409575</xdr:colOff>
                <xdr:row>89</xdr:row>
                <xdr:rowOff>142875</xdr:rowOff>
              </to>
            </anchor>
          </controlPr>
        </control>
      </mc:Choice>
      <mc:Fallback>
        <control shapeId="3254" r:id="rId179" name="VarPreSelect87"/>
      </mc:Fallback>
    </mc:AlternateContent>
    <mc:AlternateContent xmlns:mc="http://schemas.openxmlformats.org/markup-compatibility/2006">
      <mc:Choice Requires="x14">
        <control shapeId="3255" r:id="rId180" name="VarPreSelect88">
          <controlPr defaultSize="0" autoLine="0" r:id="rId4">
            <anchor moveWithCells="1">
              <from>
                <xdr:col>3</xdr:col>
                <xdr:colOff>247650</xdr:colOff>
                <xdr:row>90</xdr:row>
                <xdr:rowOff>19050</xdr:rowOff>
              </from>
              <to>
                <xdr:col>3</xdr:col>
                <xdr:colOff>409575</xdr:colOff>
                <xdr:row>90</xdr:row>
                <xdr:rowOff>142875</xdr:rowOff>
              </to>
            </anchor>
          </controlPr>
        </control>
      </mc:Choice>
      <mc:Fallback>
        <control shapeId="3255" r:id="rId180" name="VarPreSelect88"/>
      </mc:Fallback>
    </mc:AlternateContent>
    <mc:AlternateContent xmlns:mc="http://schemas.openxmlformats.org/markup-compatibility/2006">
      <mc:Choice Requires="x14">
        <control shapeId="3256" r:id="rId181" name="VarPreSelect89">
          <controlPr defaultSize="0" autoLine="0" r:id="rId4">
            <anchor moveWithCells="1">
              <from>
                <xdr:col>3</xdr:col>
                <xdr:colOff>247650</xdr:colOff>
                <xdr:row>91</xdr:row>
                <xdr:rowOff>19050</xdr:rowOff>
              </from>
              <to>
                <xdr:col>3</xdr:col>
                <xdr:colOff>409575</xdr:colOff>
                <xdr:row>91</xdr:row>
                <xdr:rowOff>142875</xdr:rowOff>
              </to>
            </anchor>
          </controlPr>
        </control>
      </mc:Choice>
      <mc:Fallback>
        <control shapeId="3256" r:id="rId181" name="VarPreSelect89"/>
      </mc:Fallback>
    </mc:AlternateContent>
    <mc:AlternateContent xmlns:mc="http://schemas.openxmlformats.org/markup-compatibility/2006">
      <mc:Choice Requires="x14">
        <control shapeId="3257" r:id="rId182" name="MatchCORREL1">
          <controlPr defaultSize="0" autoLine="0" r:id="rId183">
            <anchor moveWithCells="1">
              <from>
                <xdr:col>4</xdr:col>
                <xdr:colOff>247650</xdr:colOff>
                <xdr:row>96</xdr:row>
                <xdr:rowOff>19050</xdr:rowOff>
              </from>
              <to>
                <xdr:col>4</xdr:col>
                <xdr:colOff>409575</xdr:colOff>
                <xdr:row>96</xdr:row>
                <xdr:rowOff>142875</xdr:rowOff>
              </to>
            </anchor>
          </controlPr>
        </control>
      </mc:Choice>
      <mc:Fallback>
        <control shapeId="3257" r:id="rId182" name="MatchCORREL1"/>
      </mc:Fallback>
    </mc:AlternateContent>
    <mc:AlternateContent xmlns:mc="http://schemas.openxmlformats.org/markup-compatibility/2006">
      <mc:Choice Requires="x14">
        <control shapeId="3258" r:id="rId184" name="MatchCORREL2">
          <controlPr defaultSize="0" autoLine="0" r:id="rId183">
            <anchor moveWithCells="1">
              <from>
                <xdr:col>5</xdr:col>
                <xdr:colOff>247650</xdr:colOff>
                <xdr:row>96</xdr:row>
                <xdr:rowOff>19050</xdr:rowOff>
              </from>
              <to>
                <xdr:col>5</xdr:col>
                <xdr:colOff>409575</xdr:colOff>
                <xdr:row>96</xdr:row>
                <xdr:rowOff>142875</xdr:rowOff>
              </to>
            </anchor>
          </controlPr>
        </control>
      </mc:Choice>
      <mc:Fallback>
        <control shapeId="3258" r:id="rId184" name="MatchCORREL2"/>
      </mc:Fallback>
    </mc:AlternateContent>
    <mc:AlternateContent xmlns:mc="http://schemas.openxmlformats.org/markup-compatibility/2006">
      <mc:Choice Requires="x14">
        <control shapeId="3259" r:id="rId185" name="MatchCORREL3">
          <controlPr defaultSize="0" autoLine="0" r:id="rId183">
            <anchor moveWithCells="1">
              <from>
                <xdr:col>6</xdr:col>
                <xdr:colOff>247650</xdr:colOff>
                <xdr:row>96</xdr:row>
                <xdr:rowOff>19050</xdr:rowOff>
              </from>
              <to>
                <xdr:col>6</xdr:col>
                <xdr:colOff>409575</xdr:colOff>
                <xdr:row>96</xdr:row>
                <xdr:rowOff>142875</xdr:rowOff>
              </to>
            </anchor>
          </controlPr>
        </control>
      </mc:Choice>
      <mc:Fallback>
        <control shapeId="3259" r:id="rId185" name="MatchCORREL3"/>
      </mc:Fallback>
    </mc:AlternateContent>
    <mc:AlternateContent xmlns:mc="http://schemas.openxmlformats.org/markup-compatibility/2006">
      <mc:Choice Requires="x14">
        <control shapeId="3260" r:id="rId186" name="MatchCORREL4">
          <controlPr defaultSize="0" autoLine="0" r:id="rId183">
            <anchor moveWithCells="1">
              <from>
                <xdr:col>7</xdr:col>
                <xdr:colOff>247650</xdr:colOff>
                <xdr:row>96</xdr:row>
                <xdr:rowOff>19050</xdr:rowOff>
              </from>
              <to>
                <xdr:col>7</xdr:col>
                <xdr:colOff>409575</xdr:colOff>
                <xdr:row>96</xdr:row>
                <xdr:rowOff>142875</xdr:rowOff>
              </to>
            </anchor>
          </controlPr>
        </control>
      </mc:Choice>
      <mc:Fallback>
        <control shapeId="3260" r:id="rId186" name="MatchCORREL4"/>
      </mc:Fallback>
    </mc:AlternateContent>
    <mc:AlternateContent xmlns:mc="http://schemas.openxmlformats.org/markup-compatibility/2006">
      <mc:Choice Requires="x14">
        <control shapeId="3261" r:id="rId187" name="MatchCORREL5">
          <controlPr defaultSize="0" autoLine="0" r:id="rId183">
            <anchor moveWithCells="1">
              <from>
                <xdr:col>8</xdr:col>
                <xdr:colOff>247650</xdr:colOff>
                <xdr:row>96</xdr:row>
                <xdr:rowOff>19050</xdr:rowOff>
              </from>
              <to>
                <xdr:col>8</xdr:col>
                <xdr:colOff>409575</xdr:colOff>
                <xdr:row>96</xdr:row>
                <xdr:rowOff>142875</xdr:rowOff>
              </to>
            </anchor>
          </controlPr>
        </control>
      </mc:Choice>
      <mc:Fallback>
        <control shapeId="3261" r:id="rId187" name="MatchCORREL5"/>
      </mc:Fallback>
    </mc:AlternateContent>
    <mc:AlternateContent xmlns:mc="http://schemas.openxmlformats.org/markup-compatibility/2006">
      <mc:Choice Requires="x14">
        <control shapeId="3262" r:id="rId188" name="MatchCORREL6">
          <controlPr defaultSize="0" autoLine="0" r:id="rId183">
            <anchor moveWithCells="1">
              <from>
                <xdr:col>9</xdr:col>
                <xdr:colOff>247650</xdr:colOff>
                <xdr:row>96</xdr:row>
                <xdr:rowOff>19050</xdr:rowOff>
              </from>
              <to>
                <xdr:col>9</xdr:col>
                <xdr:colOff>409575</xdr:colOff>
                <xdr:row>96</xdr:row>
                <xdr:rowOff>142875</xdr:rowOff>
              </to>
            </anchor>
          </controlPr>
        </control>
      </mc:Choice>
      <mc:Fallback>
        <control shapeId="3262" r:id="rId188" name="MatchCORREL6"/>
      </mc:Fallback>
    </mc:AlternateContent>
    <mc:AlternateContent xmlns:mc="http://schemas.openxmlformats.org/markup-compatibility/2006">
      <mc:Choice Requires="x14">
        <control shapeId="3263" r:id="rId189" name="MatchCORREL7">
          <controlPr defaultSize="0" autoLine="0" r:id="rId183">
            <anchor moveWithCells="1">
              <from>
                <xdr:col>10</xdr:col>
                <xdr:colOff>247650</xdr:colOff>
                <xdr:row>96</xdr:row>
                <xdr:rowOff>19050</xdr:rowOff>
              </from>
              <to>
                <xdr:col>10</xdr:col>
                <xdr:colOff>409575</xdr:colOff>
                <xdr:row>96</xdr:row>
                <xdr:rowOff>142875</xdr:rowOff>
              </to>
            </anchor>
          </controlPr>
        </control>
      </mc:Choice>
      <mc:Fallback>
        <control shapeId="3263" r:id="rId189" name="MatchCORREL7"/>
      </mc:Fallback>
    </mc:AlternateContent>
    <mc:AlternateContent xmlns:mc="http://schemas.openxmlformats.org/markup-compatibility/2006">
      <mc:Choice Requires="x14">
        <control shapeId="3264" r:id="rId190" name="MatchCORREL8">
          <controlPr defaultSize="0" autoLine="0" r:id="rId183">
            <anchor moveWithCells="1">
              <from>
                <xdr:col>11</xdr:col>
                <xdr:colOff>247650</xdr:colOff>
                <xdr:row>96</xdr:row>
                <xdr:rowOff>19050</xdr:rowOff>
              </from>
              <to>
                <xdr:col>11</xdr:col>
                <xdr:colOff>409575</xdr:colOff>
                <xdr:row>96</xdr:row>
                <xdr:rowOff>142875</xdr:rowOff>
              </to>
            </anchor>
          </controlPr>
        </control>
      </mc:Choice>
      <mc:Fallback>
        <control shapeId="3264" r:id="rId190" name="MatchCORREL8"/>
      </mc:Fallback>
    </mc:AlternateContent>
    <mc:AlternateContent xmlns:mc="http://schemas.openxmlformats.org/markup-compatibility/2006">
      <mc:Choice Requires="x14">
        <control shapeId="3265" r:id="rId191" name="MatchCORREL9">
          <controlPr defaultSize="0" autoLine="0" r:id="rId183">
            <anchor moveWithCells="1">
              <from>
                <xdr:col>12</xdr:col>
                <xdr:colOff>247650</xdr:colOff>
                <xdr:row>96</xdr:row>
                <xdr:rowOff>19050</xdr:rowOff>
              </from>
              <to>
                <xdr:col>12</xdr:col>
                <xdr:colOff>409575</xdr:colOff>
                <xdr:row>96</xdr:row>
                <xdr:rowOff>142875</xdr:rowOff>
              </to>
            </anchor>
          </controlPr>
        </control>
      </mc:Choice>
      <mc:Fallback>
        <control shapeId="3265" r:id="rId191" name="MatchCORREL9"/>
      </mc:Fallback>
    </mc:AlternateContent>
    <mc:AlternateContent xmlns:mc="http://schemas.openxmlformats.org/markup-compatibility/2006">
      <mc:Choice Requires="x14">
        <control shapeId="3266" r:id="rId192" name="MatchCORREL10">
          <controlPr defaultSize="0" autoLine="0" r:id="rId183">
            <anchor moveWithCells="1">
              <from>
                <xdr:col>13</xdr:col>
                <xdr:colOff>247650</xdr:colOff>
                <xdr:row>96</xdr:row>
                <xdr:rowOff>19050</xdr:rowOff>
              </from>
              <to>
                <xdr:col>13</xdr:col>
                <xdr:colOff>409575</xdr:colOff>
                <xdr:row>96</xdr:row>
                <xdr:rowOff>142875</xdr:rowOff>
              </to>
            </anchor>
          </controlPr>
        </control>
      </mc:Choice>
      <mc:Fallback>
        <control shapeId="3266" r:id="rId192" name="MatchCORREL10"/>
      </mc:Fallback>
    </mc:AlternateContent>
    <mc:AlternateContent xmlns:mc="http://schemas.openxmlformats.org/markup-compatibility/2006">
      <mc:Choice Requires="x14">
        <control shapeId="3267" r:id="rId193" name="MatchCORREL11">
          <controlPr defaultSize="0" autoLine="0" r:id="rId183">
            <anchor moveWithCells="1">
              <from>
                <xdr:col>14</xdr:col>
                <xdr:colOff>247650</xdr:colOff>
                <xdr:row>96</xdr:row>
                <xdr:rowOff>19050</xdr:rowOff>
              </from>
              <to>
                <xdr:col>14</xdr:col>
                <xdr:colOff>409575</xdr:colOff>
                <xdr:row>96</xdr:row>
                <xdr:rowOff>142875</xdr:rowOff>
              </to>
            </anchor>
          </controlPr>
        </control>
      </mc:Choice>
      <mc:Fallback>
        <control shapeId="3267" r:id="rId193" name="MatchCORREL11"/>
      </mc:Fallback>
    </mc:AlternateContent>
    <mc:AlternateContent xmlns:mc="http://schemas.openxmlformats.org/markup-compatibility/2006">
      <mc:Choice Requires="x14">
        <control shapeId="3268" r:id="rId194" name="MatchCORREL12">
          <controlPr defaultSize="0" autoLine="0" r:id="rId183">
            <anchor moveWithCells="1">
              <from>
                <xdr:col>15</xdr:col>
                <xdr:colOff>247650</xdr:colOff>
                <xdr:row>96</xdr:row>
                <xdr:rowOff>19050</xdr:rowOff>
              </from>
              <to>
                <xdr:col>15</xdr:col>
                <xdr:colOff>409575</xdr:colOff>
                <xdr:row>96</xdr:row>
                <xdr:rowOff>142875</xdr:rowOff>
              </to>
            </anchor>
          </controlPr>
        </control>
      </mc:Choice>
      <mc:Fallback>
        <control shapeId="3268" r:id="rId194" name="MatchCORREL12"/>
      </mc:Fallback>
    </mc:AlternateContent>
    <mc:AlternateContent xmlns:mc="http://schemas.openxmlformats.org/markup-compatibility/2006">
      <mc:Choice Requires="x14">
        <control shapeId="3269" r:id="rId195" name="MatchCORREL13">
          <controlPr defaultSize="0" autoLine="0" r:id="rId183">
            <anchor moveWithCells="1">
              <from>
                <xdr:col>16</xdr:col>
                <xdr:colOff>247650</xdr:colOff>
                <xdr:row>96</xdr:row>
                <xdr:rowOff>19050</xdr:rowOff>
              </from>
              <to>
                <xdr:col>16</xdr:col>
                <xdr:colOff>409575</xdr:colOff>
                <xdr:row>96</xdr:row>
                <xdr:rowOff>142875</xdr:rowOff>
              </to>
            </anchor>
          </controlPr>
        </control>
      </mc:Choice>
      <mc:Fallback>
        <control shapeId="3269" r:id="rId195" name="MatchCORREL13"/>
      </mc:Fallback>
    </mc:AlternateContent>
    <mc:AlternateContent xmlns:mc="http://schemas.openxmlformats.org/markup-compatibility/2006">
      <mc:Choice Requires="x14">
        <control shapeId="3270" r:id="rId196" name="MatchCORREL14">
          <controlPr defaultSize="0" autoLine="0" r:id="rId183">
            <anchor moveWithCells="1">
              <from>
                <xdr:col>17</xdr:col>
                <xdr:colOff>247650</xdr:colOff>
                <xdr:row>96</xdr:row>
                <xdr:rowOff>19050</xdr:rowOff>
              </from>
              <to>
                <xdr:col>17</xdr:col>
                <xdr:colOff>409575</xdr:colOff>
                <xdr:row>96</xdr:row>
                <xdr:rowOff>142875</xdr:rowOff>
              </to>
            </anchor>
          </controlPr>
        </control>
      </mc:Choice>
      <mc:Fallback>
        <control shapeId="3270" r:id="rId196" name="MatchCORREL14"/>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109"/>
  <sheetViews>
    <sheetView zoomScale="75" zoomScaleNormal="75" workbookViewId="0">
      <pane xSplit="13" ySplit="21" topLeftCell="N22" activePane="bottomRight" state="frozen"/>
      <selection pane="topRight" activeCell="M1" sqref="M1"/>
      <selection pane="bottomLeft" activeCell="A22" sqref="A22"/>
      <selection pane="bottomRight" activeCell="B97" sqref="B4:B97"/>
    </sheetView>
  </sheetViews>
  <sheetFormatPr defaultRowHeight="15"/>
  <cols>
    <col min="2" max="2" width="63.5703125" customWidth="1"/>
    <col min="3" max="5" width="0" hidden="1" customWidth="1"/>
    <col min="21" max="21" width="15.42578125" customWidth="1"/>
    <col min="22" max="22" width="41.140625" customWidth="1"/>
    <col min="23" max="23" width="20.5703125" bestFit="1" customWidth="1"/>
    <col min="24" max="24" width="19.42578125" bestFit="1" customWidth="1"/>
    <col min="25" max="25" width="24.85546875" bestFit="1" customWidth="1"/>
    <col min="26" max="26" width="19.42578125" bestFit="1" customWidth="1"/>
    <col min="27" max="36" width="10.7109375" bestFit="1" customWidth="1"/>
    <col min="37" max="37" width="8.42578125" bestFit="1" customWidth="1"/>
  </cols>
  <sheetData>
    <row r="1" spans="1:22" ht="23.25">
      <c r="A1" s="136"/>
      <c r="B1" s="147"/>
      <c r="C1" s="147"/>
      <c r="D1" s="147"/>
      <c r="E1" s="147"/>
      <c r="F1" s="147"/>
      <c r="G1" s="147"/>
      <c r="H1" s="147"/>
      <c r="I1" s="147"/>
      <c r="J1" s="147"/>
      <c r="K1" s="147"/>
      <c r="L1" s="147"/>
      <c r="M1" s="147"/>
      <c r="N1" s="147"/>
      <c r="O1" s="210"/>
      <c r="P1" s="210"/>
      <c r="Q1" s="210"/>
      <c r="R1" s="210"/>
      <c r="S1" s="210"/>
      <c r="T1" s="132">
        <f>SUM(T4:T97)</f>
        <v>32</v>
      </c>
      <c r="U1" s="141">
        <f>T1*(T1-1)*(T1-2)/6</f>
        <v>4960</v>
      </c>
      <c r="V1" s="136"/>
    </row>
    <row r="2" spans="1:22" ht="24" thickBot="1">
      <c r="A2" s="136"/>
      <c r="B2" s="148" t="s">
        <v>0</v>
      </c>
      <c r="C2" s="148"/>
      <c r="D2" s="148"/>
      <c r="E2" s="148"/>
      <c r="F2" s="148"/>
      <c r="G2" s="148"/>
      <c r="H2" s="148"/>
      <c r="I2" s="148"/>
      <c r="J2" s="148"/>
      <c r="K2" s="148"/>
      <c r="L2" s="148"/>
      <c r="M2" s="148"/>
      <c r="N2" s="148"/>
      <c r="O2" s="211"/>
      <c r="P2" s="211"/>
      <c r="Q2" s="211"/>
      <c r="R2" s="211"/>
      <c r="S2" s="211"/>
      <c r="T2" s="211">
        <v>94</v>
      </c>
      <c r="U2" s="141">
        <f>T2*(T2-1)*(T2-2)/6</f>
        <v>134044</v>
      </c>
      <c r="V2" s="136"/>
    </row>
    <row r="3" spans="1:22" ht="39" thickBot="1">
      <c r="A3" s="136"/>
      <c r="B3" s="156" t="s">
        <v>106</v>
      </c>
      <c r="C3" s="179" t="s">
        <v>103</v>
      </c>
      <c r="D3" s="180" t="s">
        <v>104</v>
      </c>
      <c r="E3" s="181" t="s">
        <v>105</v>
      </c>
      <c r="F3" s="178" t="s">
        <v>85</v>
      </c>
      <c r="G3" s="178" t="s">
        <v>89</v>
      </c>
      <c r="H3" s="178" t="s">
        <v>86</v>
      </c>
      <c r="I3" s="178" t="s">
        <v>87</v>
      </c>
      <c r="J3" s="178" t="s">
        <v>88</v>
      </c>
      <c r="K3" s="178" t="s">
        <v>96</v>
      </c>
      <c r="L3" s="178" t="s">
        <v>97</v>
      </c>
      <c r="M3" s="178" t="s">
        <v>94</v>
      </c>
      <c r="N3" s="178" t="s">
        <v>98</v>
      </c>
      <c r="O3" s="212" t="s">
        <v>90</v>
      </c>
      <c r="P3" s="212" t="s">
        <v>101</v>
      </c>
      <c r="Q3" s="212" t="s">
        <v>99</v>
      </c>
      <c r="R3" s="212" t="s">
        <v>100</v>
      </c>
      <c r="S3" s="213" t="s">
        <v>102</v>
      </c>
      <c r="T3" s="197"/>
      <c r="U3" s="146"/>
      <c r="V3" s="136"/>
    </row>
    <row r="4" spans="1:22">
      <c r="A4" s="136">
        <v>1</v>
      </c>
      <c r="B4" s="187" t="s">
        <v>1</v>
      </c>
      <c r="C4" s="207">
        <v>1</v>
      </c>
      <c r="D4" s="189"/>
      <c r="E4" s="190"/>
      <c r="F4" s="191">
        <v>-3.5690321543568002E-5</v>
      </c>
      <c r="G4" s="191">
        <v>4.8817243617328402E-6</v>
      </c>
      <c r="H4" s="191">
        <v>5.9539821203410698E-4</v>
      </c>
      <c r="I4" s="191">
        <v>4.7447789486567404E-6</v>
      </c>
      <c r="J4" s="191">
        <v>3.23925117529299E-5</v>
      </c>
      <c r="K4" s="191">
        <v>-6.36058846983654E-5</v>
      </c>
      <c r="L4" s="191">
        <v>-3.2148835295325099E-6</v>
      </c>
      <c r="M4" s="191">
        <v>-6.2831768271147502E-6</v>
      </c>
      <c r="N4" s="191">
        <v>1.6064736120951901E-5</v>
      </c>
      <c r="O4" s="214">
        <v>2.95511616458791E-3</v>
      </c>
      <c r="P4" s="214">
        <v>2.1928572818644701E-4</v>
      </c>
      <c r="Q4" s="214">
        <v>-1.08366593684931E-5</v>
      </c>
      <c r="R4" s="214">
        <v>1.38074762726358E-4</v>
      </c>
      <c r="S4" s="215">
        <v>-8.1708937907004704E-5</v>
      </c>
      <c r="T4" s="197"/>
      <c r="U4" s="146">
        <v>6.0101750974910939E-2</v>
      </c>
      <c r="V4" s="192" t="s">
        <v>147</v>
      </c>
    </row>
    <row r="5" spans="1:22">
      <c r="A5" s="136">
        <f>A4+1</f>
        <v>2</v>
      </c>
      <c r="B5" s="193" t="s">
        <v>2</v>
      </c>
      <c r="C5" s="188">
        <v>1</v>
      </c>
      <c r="D5" s="194"/>
      <c r="E5" s="195"/>
      <c r="F5" s="196">
        <v>-7.55210950877284E-4</v>
      </c>
      <c r="G5" s="196">
        <v>-1.32136074161203E-3</v>
      </c>
      <c r="H5" s="196">
        <v>1.4980987270535599E-4</v>
      </c>
      <c r="I5" s="196">
        <v>-4.8767811322283499E-4</v>
      </c>
      <c r="J5" s="196">
        <v>-6.8216292147729501E-4</v>
      </c>
      <c r="K5" s="196">
        <v>1.5049814321808699E-3</v>
      </c>
      <c r="L5" s="196">
        <v>-6.7631623880535802E-4</v>
      </c>
      <c r="M5" s="196">
        <v>6.2385332022905102E-4</v>
      </c>
      <c r="N5" s="196">
        <v>-9.0831094134588E-4</v>
      </c>
      <c r="O5" s="204">
        <v>9.7125454135720595E-5</v>
      </c>
      <c r="P5" s="204">
        <v>3.0104066209205201E-4</v>
      </c>
      <c r="Q5" s="204">
        <v>6.3310668702320095E-4</v>
      </c>
      <c r="R5" s="204">
        <v>7.9682213095429405E-4</v>
      </c>
      <c r="S5" s="205">
        <v>-1.6888929471598601E-3</v>
      </c>
      <c r="T5" s="197"/>
      <c r="U5" s="146">
        <v>0.26416948118062278</v>
      </c>
      <c r="V5" s="192" t="s">
        <v>149</v>
      </c>
    </row>
    <row r="6" spans="1:22">
      <c r="A6" s="136">
        <f t="shared" ref="A6:A69" si="0">A5+1</f>
        <v>3</v>
      </c>
      <c r="B6" s="222" t="s">
        <v>3</v>
      </c>
      <c r="C6" s="170">
        <v>1</v>
      </c>
      <c r="D6" s="154"/>
      <c r="E6" s="166"/>
      <c r="F6" s="152">
        <v>-3.2115668866133399E-3</v>
      </c>
      <c r="G6" s="152">
        <v>-5.6469956769889902E-3</v>
      </c>
      <c r="H6" s="152">
        <v>6.2292737667654402E-4</v>
      </c>
      <c r="I6" s="152">
        <v>1.2173399528271601E-3</v>
      </c>
      <c r="J6" s="152">
        <v>-2.9107343357368601E-3</v>
      </c>
      <c r="K6" s="152">
        <v>6.84197140311629E-3</v>
      </c>
      <c r="L6" s="152">
        <v>-2.5485691505968099E-3</v>
      </c>
      <c r="M6" s="152">
        <v>2.6847353195226902E-3</v>
      </c>
      <c r="N6" s="152">
        <v>-3.67551938675444E-3</v>
      </c>
      <c r="O6" s="204">
        <v>4.0483076843906201E-4</v>
      </c>
      <c r="P6" s="204">
        <v>1.25640014030562E-3</v>
      </c>
      <c r="Q6" s="204">
        <v>2.8599843281796201E-3</v>
      </c>
      <c r="R6" s="204">
        <v>3.3413818757740601E-3</v>
      </c>
      <c r="S6" s="205">
        <v>-7.1954593745334802E-3</v>
      </c>
      <c r="T6" s="197">
        <v>1</v>
      </c>
      <c r="U6" s="146">
        <v>1.12503366788936</v>
      </c>
      <c r="V6" s="136"/>
    </row>
    <row r="7" spans="1:22">
      <c r="A7" s="136">
        <f t="shared" si="0"/>
        <v>4</v>
      </c>
      <c r="B7" s="222" t="s">
        <v>4</v>
      </c>
      <c r="C7" s="170">
        <v>1</v>
      </c>
      <c r="D7" s="154"/>
      <c r="E7" s="166"/>
      <c r="F7" s="152">
        <v>-2.6963522711550099E-3</v>
      </c>
      <c r="G7" s="152">
        <v>-4.2032256970064999E-3</v>
      </c>
      <c r="H7" s="152">
        <v>3.4176710988265997E-4</v>
      </c>
      <c r="I7" s="152">
        <v>8.3666268794647296E-4</v>
      </c>
      <c r="J7" s="152">
        <v>2.24518509941119E-3</v>
      </c>
      <c r="K7" s="152">
        <v>-7.4033313559745796E-3</v>
      </c>
      <c r="L7" s="152">
        <v>-1.87147895834915E-3</v>
      </c>
      <c r="M7" s="152">
        <v>1.9914363606781502E-3</v>
      </c>
      <c r="N7" s="152">
        <v>-2.38934125511861E-3</v>
      </c>
      <c r="O7" s="204">
        <v>1.85273519133714E-4</v>
      </c>
      <c r="P7" s="204">
        <v>7.3495637052043697E-4</v>
      </c>
      <c r="Q7" s="204">
        <v>1.8163134846696999E-3</v>
      </c>
      <c r="R7" s="204">
        <v>2.1426574483564701E-3</v>
      </c>
      <c r="S7" s="205">
        <v>-5.30048235449286E-3</v>
      </c>
      <c r="T7" s="197">
        <v>1</v>
      </c>
      <c r="U7" s="146">
        <v>0.99388936125455518</v>
      </c>
      <c r="V7" s="136"/>
    </row>
    <row r="8" spans="1:22">
      <c r="A8" s="136">
        <f t="shared" si="0"/>
        <v>5</v>
      </c>
      <c r="B8" s="193" t="s">
        <v>5</v>
      </c>
      <c r="C8" s="188">
        <v>1</v>
      </c>
      <c r="D8" s="194"/>
      <c r="E8" s="195"/>
      <c r="F8" s="196">
        <v>-9.9072960291098095E-3</v>
      </c>
      <c r="G8" s="196">
        <v>-6.3462416702526997E-6</v>
      </c>
      <c r="H8" s="196">
        <v>-4.3747897299997101E-6</v>
      </c>
      <c r="I8" s="196">
        <v>3.0415249670876502E-7</v>
      </c>
      <c r="J8" s="196">
        <v>-5.8440098523327197E-7</v>
      </c>
      <c r="K8" s="196">
        <v>8.0513778099196694E-6</v>
      </c>
      <c r="L8" s="196">
        <v>2.14325568635501E-6</v>
      </c>
      <c r="M8" s="196">
        <v>-1.6534675860828199E-7</v>
      </c>
      <c r="N8" s="196">
        <v>-3.0745906451582599E-7</v>
      </c>
      <c r="O8" s="204">
        <v>-3.7464694826733502E-6</v>
      </c>
      <c r="P8" s="204">
        <v>2.85862923792948E-5</v>
      </c>
      <c r="Q8" s="204">
        <v>-1.4523357916537099E-6</v>
      </c>
      <c r="R8" s="204">
        <v>-2.32748732409329E-6</v>
      </c>
      <c r="S8" s="205">
        <v>7.2469124529494198E-7</v>
      </c>
      <c r="T8" s="197">
        <v>0</v>
      </c>
      <c r="U8" s="146">
        <v>0.99073025590277075</v>
      </c>
      <c r="V8" s="192" t="s">
        <v>154</v>
      </c>
    </row>
    <row r="9" spans="1:22">
      <c r="A9" s="136">
        <f t="shared" si="0"/>
        <v>6</v>
      </c>
      <c r="B9" s="222" t="s">
        <v>6</v>
      </c>
      <c r="C9" s="170">
        <v>1</v>
      </c>
      <c r="D9" s="154"/>
      <c r="E9" s="166"/>
      <c r="F9" s="152">
        <v>-4.7186164745212696E-3</v>
      </c>
      <c r="G9" s="152">
        <v>-5.7671471178421399E-3</v>
      </c>
      <c r="H9" s="152">
        <v>4.4174706054143402E-5</v>
      </c>
      <c r="I9" s="152">
        <v>8.8842944288630504E-4</v>
      </c>
      <c r="J9" s="152">
        <v>5.8130366001153599E-3</v>
      </c>
      <c r="K9" s="152">
        <v>-1.0159944198584099E-2</v>
      </c>
      <c r="L9" s="152">
        <v>-2.64317007519731E-3</v>
      </c>
      <c r="M9" s="152">
        <v>2.7411185642081102E-3</v>
      </c>
      <c r="N9" s="152">
        <v>1.8267680318207801E-3</v>
      </c>
      <c r="O9" s="204">
        <v>-1.4738469568629999E-4</v>
      </c>
      <c r="P9" s="204">
        <v>2.5532121727695899E-4</v>
      </c>
      <c r="Q9" s="204">
        <v>1.33056302143044E-3</v>
      </c>
      <c r="R9" s="204">
        <v>1.7392491306834801E-3</v>
      </c>
      <c r="S9" s="205">
        <v>-7.0759759054654699E-3</v>
      </c>
      <c r="T9" s="197">
        <v>1</v>
      </c>
      <c r="U9" s="146">
        <v>1.4531675976853853</v>
      </c>
      <c r="V9" s="136"/>
    </row>
    <row r="10" spans="1:22">
      <c r="A10" s="136">
        <f t="shared" si="0"/>
        <v>7</v>
      </c>
      <c r="B10" s="222" t="s">
        <v>7</v>
      </c>
      <c r="C10" s="170">
        <v>1</v>
      </c>
      <c r="D10" s="154"/>
      <c r="E10" s="166"/>
      <c r="F10" s="152">
        <v>-4.3017610129231698E-3</v>
      </c>
      <c r="G10" s="152">
        <v>-6.1868533698421196E-3</v>
      </c>
      <c r="H10" s="152">
        <v>2.9311091190998E-4</v>
      </c>
      <c r="I10" s="152">
        <v>1.24221962705794E-3</v>
      </c>
      <c r="J10" s="152">
        <v>-1.5692836170613999E-3</v>
      </c>
      <c r="K10" s="152">
        <v>1.14427076032112E-2</v>
      </c>
      <c r="L10" s="152">
        <v>3.55542304414225E-3</v>
      </c>
      <c r="M10" s="152">
        <v>2.9416015090206501E-3</v>
      </c>
      <c r="N10" s="152">
        <v>7.2675636374928498E-4</v>
      </c>
      <c r="O10" s="204">
        <v>7.7403473274100402E-5</v>
      </c>
      <c r="P10" s="204">
        <v>7.4249868219054404E-4</v>
      </c>
      <c r="Q10" s="204">
        <v>3.0582840228092602E-3</v>
      </c>
      <c r="R10" s="204">
        <v>2.538672571E-3</v>
      </c>
      <c r="S10" s="205">
        <v>-7.5636025271433099E-3</v>
      </c>
      <c r="T10" s="197">
        <v>1</v>
      </c>
      <c r="U10" s="146">
        <v>1.4616147292534596</v>
      </c>
      <c r="V10" s="136"/>
    </row>
    <row r="11" spans="1:22">
      <c r="A11" s="136">
        <f t="shared" si="0"/>
        <v>8</v>
      </c>
      <c r="B11" s="222" t="s">
        <v>8</v>
      </c>
      <c r="C11" s="170">
        <v>1</v>
      </c>
      <c r="D11" s="154"/>
      <c r="E11" s="166"/>
      <c r="F11" s="152">
        <v>-3.5877672312825502E-4</v>
      </c>
      <c r="G11" s="152">
        <v>-2.1430769948007101E-4</v>
      </c>
      <c r="H11" s="152">
        <v>3.59629056243683E-3</v>
      </c>
      <c r="I11" s="152">
        <v>8.88733595383013E-5</v>
      </c>
      <c r="J11" s="152">
        <v>-7.8643675441391795E-5</v>
      </c>
      <c r="K11" s="152">
        <v>6.6361245104426796E-4</v>
      </c>
      <c r="L11" s="152">
        <v>2.8838695957510098E-4</v>
      </c>
      <c r="M11" s="152">
        <v>9.7719934337495195E-5</v>
      </c>
      <c r="N11" s="152">
        <v>9.7233929153130096E-5</v>
      </c>
      <c r="O11" s="204">
        <v>3.87582871198075E-3</v>
      </c>
      <c r="P11" s="204">
        <v>-2.0189185386575502E-3</v>
      </c>
      <c r="Q11" s="204">
        <v>1.1071267457914099E-4</v>
      </c>
      <c r="R11" s="204">
        <v>8.7280774653498701E-5</v>
      </c>
      <c r="S11" s="205">
        <v>-6.8549450756505096E-3</v>
      </c>
      <c r="T11" s="197">
        <v>1</v>
      </c>
      <c r="U11" s="146">
        <v>0.36965645922246898</v>
      </c>
      <c r="V11" s="136"/>
    </row>
    <row r="12" spans="1:22">
      <c r="A12" s="136">
        <f t="shared" si="0"/>
        <v>9</v>
      </c>
      <c r="B12" s="193" t="s">
        <v>9</v>
      </c>
      <c r="C12" s="188">
        <v>1</v>
      </c>
      <c r="D12" s="194"/>
      <c r="E12" s="195"/>
      <c r="F12" s="196">
        <v>6.3699261547575401E-6</v>
      </c>
      <c r="G12" s="196">
        <v>-4.2721190320614501E-4</v>
      </c>
      <c r="H12" s="196">
        <v>-5.2941357864308702E-3</v>
      </c>
      <c r="I12" s="196">
        <v>1.5998421326880999E-5</v>
      </c>
      <c r="J12" s="196">
        <v>-6.4868509360893202E-5</v>
      </c>
      <c r="K12" s="196">
        <v>3.5989658810340897E-4</v>
      </c>
      <c r="L12" s="196">
        <v>-1.05972086714219E-5</v>
      </c>
      <c r="M12" s="196">
        <v>1.9783739667480999E-4</v>
      </c>
      <c r="N12" s="196">
        <v>-5.9800788048328202E-5</v>
      </c>
      <c r="O12" s="204">
        <v>-5.0329929654026903E-4</v>
      </c>
      <c r="P12" s="204">
        <v>4.66505944039958E-4</v>
      </c>
      <c r="Q12" s="204">
        <v>1.8902708919062199E-4</v>
      </c>
      <c r="R12" s="204">
        <v>-1.13067965094261E-3</v>
      </c>
      <c r="S12" s="205">
        <v>8.0413552306039999E-4</v>
      </c>
      <c r="T12" s="197"/>
      <c r="U12" s="146">
        <v>0.53279678873933045</v>
      </c>
      <c r="V12" s="192" t="s">
        <v>148</v>
      </c>
    </row>
    <row r="13" spans="1:22">
      <c r="A13" s="136">
        <f t="shared" si="0"/>
        <v>10</v>
      </c>
      <c r="B13" s="193" t="s">
        <v>10</v>
      </c>
      <c r="C13" s="188">
        <v>1</v>
      </c>
      <c r="D13" s="194"/>
      <c r="E13" s="195"/>
      <c r="F13" s="196">
        <v>9.9951635398916105E-5</v>
      </c>
      <c r="G13" s="196">
        <v>1.30586126676353E-4</v>
      </c>
      <c r="H13" s="196">
        <v>2.5608525248778798E-6</v>
      </c>
      <c r="I13" s="196">
        <v>4.9455195964845303E-5</v>
      </c>
      <c r="J13" s="196">
        <v>6.5619882056193097E-5</v>
      </c>
      <c r="K13" s="196">
        <v>-1.9394874546562E-4</v>
      </c>
      <c r="L13" s="196">
        <v>2.6790696079437599E-5</v>
      </c>
      <c r="M13" s="196">
        <v>-6.1922361098801896E-5</v>
      </c>
      <c r="N13" s="196">
        <v>6.6026834104773702E-5</v>
      </c>
      <c r="O13" s="204">
        <v>8.9773891377267201E-6</v>
      </c>
      <c r="P13" s="204">
        <v>-3.0262361639318598E-5</v>
      </c>
      <c r="Q13" s="204">
        <v>-6.3791056694944E-5</v>
      </c>
      <c r="R13" s="204">
        <v>-7.85184694333828E-5</v>
      </c>
      <c r="S13" s="205">
        <v>1.63689635030995E-4</v>
      </c>
      <c r="T13" s="197"/>
      <c r="U13" s="146">
        <v>2.8342404288266173E-2</v>
      </c>
      <c r="V13" s="192" t="s">
        <v>147</v>
      </c>
    </row>
    <row r="14" spans="1:22">
      <c r="A14" s="136">
        <f t="shared" si="0"/>
        <v>11</v>
      </c>
      <c r="B14" s="193" t="s">
        <v>11</v>
      </c>
      <c r="C14" s="188">
        <v>1</v>
      </c>
      <c r="D14" s="194"/>
      <c r="E14" s="195"/>
      <c r="F14" s="196">
        <v>-7.7937920011151093E-5</v>
      </c>
      <c r="G14" s="196">
        <v>-1.3583398036521601E-4</v>
      </c>
      <c r="H14" s="196">
        <v>3.2330763126583203E-5</v>
      </c>
      <c r="I14" s="196">
        <v>-2.37701259227834E-3</v>
      </c>
      <c r="J14" s="196">
        <v>-8.2317053062858E-5</v>
      </c>
      <c r="K14" s="196">
        <v>-7.0315366206631798E-5</v>
      </c>
      <c r="L14" s="196">
        <v>-2.9374509879098899E-4</v>
      </c>
      <c r="M14" s="196">
        <v>5.4812450478645797E-5</v>
      </c>
      <c r="N14" s="196">
        <v>-2.3620542631428299E-4</v>
      </c>
      <c r="O14" s="204">
        <v>2.4387395689100099E-5</v>
      </c>
      <c r="P14" s="204">
        <v>2.02059460791758E-5</v>
      </c>
      <c r="Q14" s="204">
        <v>-1.5975693708190801E-5</v>
      </c>
      <c r="R14" s="204">
        <v>1.11034836461156E-4</v>
      </c>
      <c r="S14" s="205">
        <v>-1.8959734705028899E-4</v>
      </c>
      <c r="T14" s="197"/>
      <c r="U14" s="146">
        <v>0.24150700343577833</v>
      </c>
      <c r="V14" s="192" t="s">
        <v>151</v>
      </c>
    </row>
    <row r="15" spans="1:22">
      <c r="A15" s="136">
        <f t="shared" si="0"/>
        <v>12</v>
      </c>
      <c r="B15" s="193" t="s">
        <v>12</v>
      </c>
      <c r="C15" s="188">
        <v>1</v>
      </c>
      <c r="D15" s="194"/>
      <c r="E15" s="195"/>
      <c r="F15" s="196">
        <v>-1.69833472331991E-4</v>
      </c>
      <c r="G15" s="196">
        <v>-3.5233845580806799E-4</v>
      </c>
      <c r="H15" s="196">
        <v>6.2847589048044598E-5</v>
      </c>
      <c r="I15" s="196">
        <v>8.8934190037643105E-5</v>
      </c>
      <c r="J15" s="196">
        <v>-3.1926660681843998E-3</v>
      </c>
      <c r="K15" s="196">
        <v>-6.3793750180596797E-4</v>
      </c>
      <c r="L15" s="196">
        <v>-1.5598138606250301E-4</v>
      </c>
      <c r="M15" s="196">
        <v>1.6104774288446699E-4</v>
      </c>
      <c r="N15" s="196">
        <v>-3.5849726922545301E-4</v>
      </c>
      <c r="O15" s="204">
        <v>4.4462817067953601E-5</v>
      </c>
      <c r="P15" s="204">
        <v>1.1201729554492401E-4</v>
      </c>
      <c r="Q15" s="204">
        <v>2.3103310901076001E-4</v>
      </c>
      <c r="R15" s="204">
        <v>2.7231601691891602E-4</v>
      </c>
      <c r="S15" s="205">
        <v>-4.6235301449817299E-4</v>
      </c>
      <c r="T15" s="197"/>
      <c r="U15" s="146">
        <v>0.33081282691043135</v>
      </c>
      <c r="V15" s="192" t="s">
        <v>152</v>
      </c>
    </row>
    <row r="16" spans="1:22">
      <c r="A16" s="136">
        <f t="shared" si="0"/>
        <v>13</v>
      </c>
      <c r="B16" s="222" t="s">
        <v>13</v>
      </c>
      <c r="C16" s="170">
        <v>1</v>
      </c>
      <c r="D16" s="154"/>
      <c r="E16" s="166"/>
      <c r="F16" s="152">
        <v>1.3533938545013301E-2</v>
      </c>
      <c r="G16" s="152">
        <v>5.3592790474193599E-3</v>
      </c>
      <c r="H16" s="152">
        <v>3.4419991978129399E-3</v>
      </c>
      <c r="I16" s="152">
        <v>1.3354727825488401E-3</v>
      </c>
      <c r="J16" s="152">
        <v>-1.4418007164255101E-3</v>
      </c>
      <c r="K16" s="152">
        <v>8.8535634190479995E-3</v>
      </c>
      <c r="L16" s="152">
        <v>2.89553843226561E-3</v>
      </c>
      <c r="M16" s="152">
        <v>-2.5360059101545399E-3</v>
      </c>
      <c r="N16" s="152">
        <v>-5.4773832343494395E-4</v>
      </c>
      <c r="O16" s="204">
        <v>3.49383020095496E-3</v>
      </c>
      <c r="P16" s="204">
        <v>6.3350762280955202E-3</v>
      </c>
      <c r="Q16" s="204">
        <v>8.3021099757817404E-3</v>
      </c>
      <c r="R16" s="204">
        <v>8.4392636706337003E-3</v>
      </c>
      <c r="S16" s="205">
        <v>5.1062651007538198E-3</v>
      </c>
      <c r="T16" s="197">
        <v>1</v>
      </c>
      <c r="U16" s="146">
        <v>1.7919265360499401</v>
      </c>
      <c r="V16" s="136"/>
    </row>
    <row r="17" spans="1:35">
      <c r="A17" s="136">
        <f t="shared" si="0"/>
        <v>14</v>
      </c>
      <c r="B17" s="222" t="s">
        <v>14</v>
      </c>
      <c r="C17" s="170">
        <v>1</v>
      </c>
      <c r="D17" s="154"/>
      <c r="E17" s="166"/>
      <c r="F17" s="152">
        <v>4.3568421390849003E-4</v>
      </c>
      <c r="G17" s="152">
        <v>1.1802789075579499E-3</v>
      </c>
      <c r="H17" s="152">
        <v>-1.7424467388023199E-4</v>
      </c>
      <c r="I17" s="152">
        <v>-4.0111631265951999E-4</v>
      </c>
      <c r="J17" s="152">
        <v>5.7909128485315198E-3</v>
      </c>
      <c r="K17" s="152">
        <v>-1.8217494731491399E-2</v>
      </c>
      <c r="L17" s="152">
        <v>-5.2881261967999199E-3</v>
      </c>
      <c r="M17" s="152">
        <v>-5.5663986285478398E-4</v>
      </c>
      <c r="N17" s="152">
        <v>8.3751849174111103E-4</v>
      </c>
      <c r="O17" s="204">
        <v>-1.3056092706599401E-4</v>
      </c>
      <c r="P17" s="204">
        <v>-3.3204794340249298E-4</v>
      </c>
      <c r="Q17" s="204">
        <v>-1.14682020015868E-2</v>
      </c>
      <c r="R17" s="204">
        <v>-7.97575141559148E-4</v>
      </c>
      <c r="S17" s="205">
        <v>1.41169854583454E-3</v>
      </c>
      <c r="T17" s="197">
        <v>1</v>
      </c>
      <c r="U17" s="146">
        <v>1.9903805773819883</v>
      </c>
      <c r="V17" s="136"/>
      <c r="W17" s="136"/>
      <c r="X17" s="136"/>
      <c r="Y17" s="136"/>
      <c r="Z17" s="136"/>
      <c r="AA17" s="136"/>
      <c r="AB17" s="136"/>
      <c r="AC17" s="136"/>
      <c r="AD17" s="136"/>
    </row>
    <row r="18" spans="1:35">
      <c r="A18" s="136">
        <f t="shared" si="0"/>
        <v>15</v>
      </c>
      <c r="B18" s="193" t="s">
        <v>15</v>
      </c>
      <c r="C18" s="188">
        <v>1</v>
      </c>
      <c r="D18" s="194"/>
      <c r="E18" s="195"/>
      <c r="F18" s="196">
        <v>-3.73165262207237E-3</v>
      </c>
      <c r="G18" s="196">
        <v>-5.5016423341183902E-3</v>
      </c>
      <c r="H18" s="196">
        <v>-1.2300628294496701E-3</v>
      </c>
      <c r="I18" s="196">
        <v>1.08326953227794E-3</v>
      </c>
      <c r="J18" s="196">
        <v>-1.4016440201544799E-3</v>
      </c>
      <c r="K18" s="196">
        <v>1.00974118309271E-2</v>
      </c>
      <c r="L18" s="196">
        <v>3.0875979557150901E-3</v>
      </c>
      <c r="M18" s="196">
        <v>2.6195886966310202E-3</v>
      </c>
      <c r="N18" s="196">
        <v>6.1176667362036502E-4</v>
      </c>
      <c r="O18" s="204">
        <v>-1.5293371180686399E-3</v>
      </c>
      <c r="P18" s="204">
        <v>1.49645050432458E-3</v>
      </c>
      <c r="Q18" s="204">
        <v>2.7195546289404899E-3</v>
      </c>
      <c r="R18" s="204">
        <v>-7.6296403593969003E-3</v>
      </c>
      <c r="S18" s="205">
        <v>-4.0214928929529501E-3</v>
      </c>
      <c r="T18" s="197">
        <v>0</v>
      </c>
      <c r="U18" s="146">
        <v>1.2944957446416172</v>
      </c>
      <c r="V18" s="192" t="s">
        <v>155</v>
      </c>
      <c r="W18" s="136"/>
      <c r="X18" s="136"/>
      <c r="Y18" s="136"/>
      <c r="Z18" s="136"/>
      <c r="AA18" s="136"/>
      <c r="AB18" s="136"/>
      <c r="AC18" s="136"/>
      <c r="AD18" s="136"/>
    </row>
    <row r="19" spans="1:35">
      <c r="A19" s="136">
        <f t="shared" si="0"/>
        <v>16</v>
      </c>
      <c r="B19" s="193" t="s">
        <v>16</v>
      </c>
      <c r="C19" s="188">
        <v>1</v>
      </c>
      <c r="D19" s="194"/>
      <c r="E19" s="195"/>
      <c r="F19" s="196">
        <v>7.4050391549056399E-4</v>
      </c>
      <c r="G19" s="196">
        <v>1.29445023606798E-3</v>
      </c>
      <c r="H19" s="196">
        <v>-1.47569126746087E-4</v>
      </c>
      <c r="I19" s="196">
        <v>4.8050011430050799E-4</v>
      </c>
      <c r="J19" s="196">
        <v>6.7172718959812995E-4</v>
      </c>
      <c r="K19" s="196">
        <v>-1.4737599782290701E-3</v>
      </c>
      <c r="L19" s="196">
        <v>6.6714786725817303E-4</v>
      </c>
      <c r="M19" s="196">
        <v>-6.1376716795394598E-4</v>
      </c>
      <c r="N19" s="196">
        <v>8.9432155391040995E-4</v>
      </c>
      <c r="O19" s="204">
        <v>-9.7903023273633903E-5</v>
      </c>
      <c r="P19" s="204">
        <v>-2.91915396120812E-4</v>
      </c>
      <c r="Q19" s="204">
        <v>-6.2372236344636095E-4</v>
      </c>
      <c r="R19" s="204">
        <v>-7.8730681512932405E-4</v>
      </c>
      <c r="S19" s="205">
        <v>1.6608111614046801E-3</v>
      </c>
      <c r="T19" s="197"/>
      <c r="U19" s="146">
        <v>0.25925658748108843</v>
      </c>
      <c r="V19" s="209" t="s">
        <v>150</v>
      </c>
      <c r="W19" s="198"/>
      <c r="X19" s="198"/>
      <c r="Y19" s="198"/>
      <c r="Z19" s="198"/>
      <c r="AA19" s="136"/>
      <c r="AB19" s="136"/>
      <c r="AC19" s="136"/>
      <c r="AD19" s="136"/>
    </row>
    <row r="20" spans="1:35">
      <c r="A20" s="136">
        <f t="shared" si="0"/>
        <v>17</v>
      </c>
      <c r="B20" s="193" t="s">
        <v>17</v>
      </c>
      <c r="C20" s="188">
        <v>1</v>
      </c>
      <c r="D20" s="194"/>
      <c r="E20" s="195"/>
      <c r="F20" s="196">
        <v>2.45991560035195E-3</v>
      </c>
      <c r="G20" s="196">
        <v>4.31098976229175E-3</v>
      </c>
      <c r="H20" s="196">
        <v>-4.9008315194850401E-4</v>
      </c>
      <c r="I20" s="196">
        <v>1.59412406574998E-3</v>
      </c>
      <c r="J20" s="196">
        <v>2.2349163392421001E-3</v>
      </c>
      <c r="K20" s="196">
        <v>-4.8887071464297797E-3</v>
      </c>
      <c r="L20" s="196">
        <v>2.2230324257915498E-3</v>
      </c>
      <c r="M20" s="196">
        <v>-2.0413710817778598E-3</v>
      </c>
      <c r="N20" s="196">
        <v>2.9778179046019001E-3</v>
      </c>
      <c r="O20" s="204">
        <v>-3.2558940447534801E-4</v>
      </c>
      <c r="P20" s="204">
        <v>-9.6364670955479596E-4</v>
      </c>
      <c r="Q20" s="204">
        <v>-2.0715894295872902E-3</v>
      </c>
      <c r="R20" s="204">
        <v>-2.6078126356274701E-3</v>
      </c>
      <c r="S20" s="205">
        <v>5.5312965161192999E-3</v>
      </c>
      <c r="T20" s="197">
        <v>0</v>
      </c>
      <c r="U20" s="146">
        <v>0.86190491159894389</v>
      </c>
      <c r="V20" s="192" t="s">
        <v>197</v>
      </c>
      <c r="W20" s="208">
        <v>5.4255870169079169E-5</v>
      </c>
      <c r="X20" s="208">
        <v>7.3234874033876671E-6</v>
      </c>
      <c r="Y20" s="208">
        <v>3.0545669441609392E-5</v>
      </c>
      <c r="Z20" s="208">
        <v>-1.5940327701788825E-4</v>
      </c>
      <c r="AA20" s="208">
        <v>-4.4002191764780721E-7</v>
      </c>
      <c r="AB20" s="208">
        <v>-1.3731686944853938E-4</v>
      </c>
      <c r="AC20" s="208">
        <v>-1.5029553356946069E-4</v>
      </c>
      <c r="AD20" s="208">
        <v>1.6588054552621641E-5</v>
      </c>
      <c r="AE20" s="90"/>
      <c r="AF20" s="90"/>
      <c r="AG20" s="90"/>
      <c r="AH20" s="90"/>
      <c r="AI20" s="90"/>
    </row>
    <row r="21" spans="1:35">
      <c r="A21" s="136">
        <f t="shared" si="0"/>
        <v>18</v>
      </c>
      <c r="B21" s="193" t="s">
        <v>18</v>
      </c>
      <c r="C21" s="188">
        <v>1</v>
      </c>
      <c r="D21" s="194"/>
      <c r="E21" s="195"/>
      <c r="F21" s="196">
        <v>1.5456438463749899E-5</v>
      </c>
      <c r="G21" s="196">
        <v>-1.6536841275370001E-5</v>
      </c>
      <c r="H21" s="196">
        <v>-4.2595513663802099E-4</v>
      </c>
      <c r="I21" s="196">
        <v>-1.6424234822273301E-6</v>
      </c>
      <c r="J21" s="196">
        <v>-1.9702661787864599E-5</v>
      </c>
      <c r="K21" s="196">
        <v>4.9202864393953497E-5</v>
      </c>
      <c r="L21" s="196">
        <v>4.1674416123569599E-6</v>
      </c>
      <c r="M21" s="196">
        <v>7.1099106201561601E-6</v>
      </c>
      <c r="N21" s="196">
        <v>-9.6849605322485296E-6</v>
      </c>
      <c r="O21" s="204">
        <v>-1.6633617622035201E-3</v>
      </c>
      <c r="P21" s="204">
        <v>-9.7863821793611996E-5</v>
      </c>
      <c r="Q21" s="204">
        <v>8.3788603364637493E-6</v>
      </c>
      <c r="R21" s="204">
        <v>-1.05216118150923E-4</v>
      </c>
      <c r="S21" s="205">
        <v>5.8247058840580899E-5</v>
      </c>
      <c r="T21" s="197"/>
      <c r="U21" s="146">
        <v>4.3002753190672288E-2</v>
      </c>
      <c r="V21" s="192" t="s">
        <v>147</v>
      </c>
      <c r="W21" s="136"/>
      <c r="X21" s="136"/>
      <c r="Y21" s="136"/>
      <c r="Z21" s="136"/>
      <c r="AA21" s="136"/>
      <c r="AB21" s="136"/>
      <c r="AC21" s="136"/>
      <c r="AD21" s="136"/>
    </row>
    <row r="22" spans="1:35">
      <c r="A22" s="136">
        <f t="shared" si="0"/>
        <v>19</v>
      </c>
      <c r="B22" s="193" t="s">
        <v>19</v>
      </c>
      <c r="C22" s="188">
        <v>1</v>
      </c>
      <c r="D22" s="194"/>
      <c r="E22" s="195"/>
      <c r="F22" s="196">
        <v>7.6345438472461696E-5</v>
      </c>
      <c r="G22" s="196">
        <v>-5.8885800113402402E-5</v>
      </c>
      <c r="H22" s="196">
        <v>-1.8971649121803599E-3</v>
      </c>
      <c r="I22" s="196">
        <v>-1.1253642378224301E-5</v>
      </c>
      <c r="J22" s="196">
        <v>-8.3068425758158003E-5</v>
      </c>
      <c r="K22" s="196">
        <v>1.89386298039999E-4</v>
      </c>
      <c r="L22" s="196">
        <v>8.9302320264792093E-6</v>
      </c>
      <c r="M22" s="196">
        <v>2.3396566343071999E-5</v>
      </c>
      <c r="N22" s="196">
        <v>-4.5580806314471199E-5</v>
      </c>
      <c r="O22" s="204">
        <v>-7.2228397220769902E-3</v>
      </c>
      <c r="P22" s="204">
        <v>-4.2525601725159397E-4</v>
      </c>
      <c r="Q22" s="204">
        <v>3.0945924176006098E-5</v>
      </c>
      <c r="R22" s="204">
        <v>-4.4010047078223E-4</v>
      </c>
      <c r="S22" s="205">
        <v>2.7230273541957402E-4</v>
      </c>
      <c r="T22" s="197"/>
      <c r="U22" s="146">
        <v>0.19115778308543552</v>
      </c>
      <c r="V22" s="192" t="s">
        <v>148</v>
      </c>
      <c r="W22" s="136"/>
      <c r="X22" s="136"/>
      <c r="Y22" s="136"/>
      <c r="Z22" s="136"/>
      <c r="AA22" s="136"/>
      <c r="AB22" s="136"/>
      <c r="AC22" s="136"/>
      <c r="AD22" s="136"/>
    </row>
    <row r="23" spans="1:35">
      <c r="A23" s="136">
        <f t="shared" si="0"/>
        <v>20</v>
      </c>
      <c r="B23" s="193" t="s">
        <v>20</v>
      </c>
      <c r="C23" s="188">
        <v>1</v>
      </c>
      <c r="D23" s="194"/>
      <c r="E23" s="195"/>
      <c r="F23" s="196">
        <v>1.0304292309166599E-5</v>
      </c>
      <c r="G23" s="196">
        <v>-8.8481254056407793E-6</v>
      </c>
      <c r="H23" s="196">
        <v>-2.6013993565217802E-4</v>
      </c>
      <c r="I23" s="196">
        <v>-1.4599319842020701E-6</v>
      </c>
      <c r="J23" s="196">
        <v>-1.16880197046654E-5</v>
      </c>
      <c r="K23" s="196">
        <v>2.8179822334718799E-5</v>
      </c>
      <c r="L23" s="196">
        <v>1.90511616564889E-6</v>
      </c>
      <c r="M23" s="196">
        <v>4.38168910311949E-6</v>
      </c>
      <c r="N23" s="196">
        <v>-5.9954517580586097E-6</v>
      </c>
      <c r="O23" s="204">
        <v>-1.0205241494595299E-3</v>
      </c>
      <c r="P23" s="204">
        <v>-6.0431608319746997E-5</v>
      </c>
      <c r="Q23" s="204">
        <v>4.9155980640587296E-6</v>
      </c>
      <c r="R23" s="204">
        <v>-6.1746869598004595E-5</v>
      </c>
      <c r="S23" s="205">
        <v>3.6234562264747103E-5</v>
      </c>
      <c r="T23" s="197"/>
      <c r="U23" s="146">
        <v>2.6239068502125169E-2</v>
      </c>
      <c r="V23" s="192" t="s">
        <v>147</v>
      </c>
      <c r="W23" s="136"/>
      <c r="X23" s="136"/>
      <c r="Y23" s="136"/>
      <c r="Z23" s="136"/>
      <c r="AA23" s="136"/>
      <c r="AB23" s="136"/>
      <c r="AC23" s="136"/>
      <c r="AD23" s="136"/>
    </row>
    <row r="24" spans="1:35">
      <c r="A24" s="136">
        <f t="shared" si="0"/>
        <v>21</v>
      </c>
      <c r="B24" s="193" t="s">
        <v>21</v>
      </c>
      <c r="C24" s="188">
        <v>1</v>
      </c>
      <c r="D24" s="194"/>
      <c r="E24" s="195"/>
      <c r="F24" s="196">
        <v>1.1615747693969599E-5</v>
      </c>
      <c r="G24" s="196">
        <v>-1.08008151503339E-5</v>
      </c>
      <c r="H24" s="196">
        <v>-3.00366660730468E-4</v>
      </c>
      <c r="I24" s="196">
        <v>-1.33827098551856E-6</v>
      </c>
      <c r="J24" s="196">
        <v>-1.3608194370431901E-5</v>
      </c>
      <c r="K24" s="196">
        <v>3.3368488034444803E-5</v>
      </c>
      <c r="L24" s="196">
        <v>2.6195347277672301E-6</v>
      </c>
      <c r="M24" s="196">
        <v>4.7123826203360604E-6</v>
      </c>
      <c r="N24" s="196">
        <v>-6.8409641854771398E-6</v>
      </c>
      <c r="O24" s="204">
        <v>4.9099956654054895E-4</v>
      </c>
      <c r="P24" s="204">
        <v>-6.9463759332097494E-5</v>
      </c>
      <c r="Q24" s="204">
        <v>5.8093431666148601E-6</v>
      </c>
      <c r="R24" s="204">
        <v>-7.2699751123149494E-5</v>
      </c>
      <c r="S24" s="205">
        <v>4.1579160198797298E-5</v>
      </c>
      <c r="T24" s="197"/>
      <c r="U24" s="146">
        <v>3.0306436824686287E-2</v>
      </c>
      <c r="V24" s="192" t="s">
        <v>147</v>
      </c>
      <c r="W24" s="136"/>
      <c r="X24" s="136"/>
      <c r="Y24" s="136"/>
      <c r="Z24" s="136"/>
      <c r="AA24" s="136"/>
      <c r="AB24" s="136"/>
      <c r="AC24" s="136"/>
      <c r="AD24" s="136"/>
    </row>
    <row r="25" spans="1:35">
      <c r="A25" s="136">
        <f t="shared" si="0"/>
        <v>22</v>
      </c>
      <c r="B25" s="222" t="s">
        <v>22</v>
      </c>
      <c r="C25" s="170">
        <v>1</v>
      </c>
      <c r="D25" s="154"/>
      <c r="E25" s="166"/>
      <c r="F25" s="152">
        <v>-9.74935933062567E-3</v>
      </c>
      <c r="G25" s="152">
        <v>-1.9832005219539599E-4</v>
      </c>
      <c r="H25" s="152">
        <v>-3.7757636435553602E-3</v>
      </c>
      <c r="I25" s="152">
        <v>-2.2514584416369601E-3</v>
      </c>
      <c r="J25" s="152">
        <v>-3.3869376528469402E-3</v>
      </c>
      <c r="K25" s="152">
        <v>-9.9810246916970792E-4</v>
      </c>
      <c r="L25" s="152">
        <v>-5.2402601531379995E-4</v>
      </c>
      <c r="M25" s="152">
        <v>9.1188737372467998E-5</v>
      </c>
      <c r="N25" s="152">
        <v>-6.3221270141066799E-4</v>
      </c>
      <c r="O25" s="204">
        <v>-3.5916625361251502E-3</v>
      </c>
      <c r="P25" s="204">
        <v>-6.6633995731424003E-3</v>
      </c>
      <c r="Q25" s="204">
        <v>-1.0012738102074099E-2</v>
      </c>
      <c r="R25" s="204">
        <v>-1.05944484772345E-2</v>
      </c>
      <c r="S25" s="205">
        <v>1.4225689145139699E-3</v>
      </c>
      <c r="T25" s="197">
        <v>1</v>
      </c>
      <c r="U25" s="146">
        <v>1.1294465952880757</v>
      </c>
      <c r="V25" s="136"/>
      <c r="W25" s="136"/>
      <c r="X25" s="136"/>
      <c r="Y25" s="136"/>
      <c r="Z25" s="136"/>
      <c r="AA25" s="136"/>
      <c r="AB25" s="136"/>
      <c r="AC25" s="136"/>
      <c r="AD25" s="136"/>
    </row>
    <row r="26" spans="1:35">
      <c r="A26" s="136">
        <f t="shared" si="0"/>
        <v>23</v>
      </c>
      <c r="B26" s="193" t="s">
        <v>23</v>
      </c>
      <c r="C26" s="188">
        <v>1</v>
      </c>
      <c r="D26" s="194"/>
      <c r="E26" s="195"/>
      <c r="F26" s="196">
        <v>-1.07445666169219E-4</v>
      </c>
      <c r="G26" s="196">
        <v>-6.8283119509738094E-5</v>
      </c>
      <c r="H26" s="196">
        <v>1.03362410035383E-3</v>
      </c>
      <c r="I26" s="196">
        <v>2.76778772004976E-5</v>
      </c>
      <c r="J26" s="196">
        <v>-2.41274121046308E-5</v>
      </c>
      <c r="K26" s="196">
        <v>2.0352093908408001E-4</v>
      </c>
      <c r="L26" s="196">
        <v>8.7516273859496204E-5</v>
      </c>
      <c r="M26" s="196">
        <v>3.2407964687223397E-5</v>
      </c>
      <c r="N26" s="196">
        <v>2.9592934959648301E-5</v>
      </c>
      <c r="O26" s="204">
        <v>1.10605675463E-3</v>
      </c>
      <c r="P26" s="204">
        <v>-7.4523626198191601E-3</v>
      </c>
      <c r="Q26" s="204">
        <v>3.5638085964425797E-5</v>
      </c>
      <c r="R26" s="204">
        <v>1.29380913015774E-5</v>
      </c>
      <c r="S26" s="205">
        <v>-1.9646379659945799E-3</v>
      </c>
      <c r="T26" s="197"/>
      <c r="U26" s="146">
        <v>0.10662738963946344</v>
      </c>
      <c r="V26" s="192" t="s">
        <v>149</v>
      </c>
      <c r="W26" s="136"/>
      <c r="X26" s="136"/>
      <c r="Y26" s="136"/>
      <c r="Z26" s="136"/>
      <c r="AA26" s="136"/>
      <c r="AB26" s="136"/>
      <c r="AC26" s="136"/>
      <c r="AD26" s="136"/>
    </row>
    <row r="27" spans="1:35" ht="15.75" thickBot="1">
      <c r="A27" s="136">
        <f t="shared" si="0"/>
        <v>24</v>
      </c>
      <c r="B27" s="193" t="s">
        <v>24</v>
      </c>
      <c r="C27" s="188">
        <v>1</v>
      </c>
      <c r="D27" s="194"/>
      <c r="E27" s="195"/>
      <c r="F27" s="196">
        <v>-9.0865123089923702E-5</v>
      </c>
      <c r="G27" s="196">
        <v>1.18381815772021E-5</v>
      </c>
      <c r="H27" s="196">
        <v>1.6392657224874501E-3</v>
      </c>
      <c r="I27" s="196">
        <v>1.49643028380712E-5</v>
      </c>
      <c r="J27" s="196">
        <v>7.3133609009192298E-5</v>
      </c>
      <c r="K27" s="196">
        <v>-1.28285286438053E-4</v>
      </c>
      <c r="L27" s="196">
        <v>3.9293020916508498E-6</v>
      </c>
      <c r="M27" s="196">
        <v>-9.5901119992804093E-6</v>
      </c>
      <c r="N27" s="196">
        <v>4.3351728096731498E-5</v>
      </c>
      <c r="O27" s="204">
        <v>-2.7504034170063702E-3</v>
      </c>
      <c r="P27" s="204">
        <v>-3.73949674903088E-4</v>
      </c>
      <c r="Q27" s="204">
        <v>-1.7539747637664102E-5</v>
      </c>
      <c r="R27" s="204">
        <v>3.5391498428124498E-4</v>
      </c>
      <c r="S27" s="205">
        <v>-4.4378280133749E-4</v>
      </c>
      <c r="T27" s="197"/>
      <c r="U27" s="146">
        <v>0.16491225163383691</v>
      </c>
      <c r="V27" s="192" t="s">
        <v>149</v>
      </c>
      <c r="W27" s="136"/>
      <c r="X27" s="136"/>
      <c r="Y27" s="136"/>
      <c r="Z27" s="136"/>
      <c r="AA27" s="136"/>
      <c r="AB27" s="136"/>
      <c r="AC27" s="136"/>
      <c r="AD27" s="136"/>
    </row>
    <row r="28" spans="1:35">
      <c r="A28" s="136">
        <f t="shared" si="0"/>
        <v>25</v>
      </c>
      <c r="B28" s="187" t="s">
        <v>61</v>
      </c>
      <c r="C28" s="207">
        <v>1</v>
      </c>
      <c r="D28" s="189"/>
      <c r="E28" s="190"/>
      <c r="F28" s="191">
        <v>4.8788013822364997E-3</v>
      </c>
      <c r="G28" s="191">
        <v>8.3787476082601703E-3</v>
      </c>
      <c r="H28" s="191">
        <v>-9.1507796888969605E-4</v>
      </c>
      <c r="I28" s="191">
        <v>3.4335775353452501E-3</v>
      </c>
      <c r="J28" s="191">
        <v>4.3607166659556402E-3</v>
      </c>
      <c r="K28" s="191">
        <v>-9.6960953769793697E-3</v>
      </c>
      <c r="L28" s="191">
        <v>4.17660998390414E-3</v>
      </c>
      <c r="M28" s="191">
        <v>-3.9605509089441996E-3</v>
      </c>
      <c r="N28" s="191">
        <v>5.7240422688572701E-3</v>
      </c>
      <c r="O28" s="214">
        <v>-6.09190075503377E-4</v>
      </c>
      <c r="P28" s="214">
        <v>-1.7117322892787499E-3</v>
      </c>
      <c r="Q28" s="214">
        <v>-4.0437497165152197E-3</v>
      </c>
      <c r="R28" s="214">
        <v>-4.99143347753714E-3</v>
      </c>
      <c r="S28" s="215">
        <v>1.06516025097507E-2</v>
      </c>
      <c r="T28" s="197">
        <v>0</v>
      </c>
      <c r="U28" s="146">
        <v>1.6898453969120617</v>
      </c>
      <c r="V28" s="192" t="s">
        <v>158</v>
      </c>
      <c r="W28" s="136"/>
      <c r="X28" s="136"/>
      <c r="Y28" s="136"/>
      <c r="Z28" s="136"/>
      <c r="AA28" s="136"/>
      <c r="AB28" s="136"/>
      <c r="AC28" s="136"/>
      <c r="AD28" s="136"/>
    </row>
    <row r="29" spans="1:35">
      <c r="A29" s="136">
        <f t="shared" si="0"/>
        <v>26</v>
      </c>
      <c r="B29" s="193" t="s">
        <v>62</v>
      </c>
      <c r="C29" s="188">
        <v>1</v>
      </c>
      <c r="D29" s="194"/>
      <c r="E29" s="195"/>
      <c r="F29" s="196">
        <v>4.8359917314611499E-3</v>
      </c>
      <c r="G29" s="196">
        <v>8.2696410687754397E-3</v>
      </c>
      <c r="H29" s="196">
        <v>-9.0195359969969695E-4</v>
      </c>
      <c r="I29" s="196">
        <v>2.4604720373752301E-3</v>
      </c>
      <c r="J29" s="196">
        <v>4.29518026975448E-3</v>
      </c>
      <c r="K29" s="196">
        <v>-9.72660115290362E-3</v>
      </c>
      <c r="L29" s="196">
        <v>3.9751439493867701E-3</v>
      </c>
      <c r="M29" s="196">
        <v>-3.90515974481042E-3</v>
      </c>
      <c r="N29" s="196">
        <v>5.5609352351316203E-3</v>
      </c>
      <c r="O29" s="204">
        <v>-6.0000062205530999E-4</v>
      </c>
      <c r="P29" s="204">
        <v>-1.68063189300942E-3</v>
      </c>
      <c r="Q29" s="204">
        <v>-4.0247576330859E-3</v>
      </c>
      <c r="R29" s="204">
        <v>-4.93160336220604E-3</v>
      </c>
      <c r="S29" s="205">
        <v>1.05335684231733E-2</v>
      </c>
      <c r="T29" s="197">
        <v>0</v>
      </c>
      <c r="U29" s="146">
        <v>1.654305318414262</v>
      </c>
      <c r="V29" s="192" t="s">
        <v>159</v>
      </c>
      <c r="W29" s="136"/>
      <c r="X29" s="136"/>
      <c r="Y29" s="136"/>
      <c r="Z29" s="136"/>
      <c r="AA29" s="136"/>
      <c r="AB29" s="136"/>
      <c r="AC29" s="136"/>
      <c r="AD29" s="136"/>
    </row>
    <row r="30" spans="1:35">
      <c r="A30" s="136">
        <f t="shared" si="0"/>
        <v>27</v>
      </c>
      <c r="B30" s="193" t="s">
        <v>63</v>
      </c>
      <c r="C30" s="188">
        <v>1</v>
      </c>
      <c r="D30" s="194"/>
      <c r="E30" s="195"/>
      <c r="F30" s="196">
        <v>6.4259440347655501E-3</v>
      </c>
      <c r="G30" s="196">
        <v>1.11218495486723E-2</v>
      </c>
      <c r="H30" s="196">
        <v>-1.21832558871065E-3</v>
      </c>
      <c r="I30" s="196">
        <v>3.9621337441257502E-3</v>
      </c>
      <c r="J30" s="196">
        <v>5.7822303196080598E-3</v>
      </c>
      <c r="K30" s="196">
        <v>-1.2827991885284599E-2</v>
      </c>
      <c r="L30" s="196">
        <v>5.53388618216863E-3</v>
      </c>
      <c r="M30" s="196">
        <v>-5.2433110622272603E-3</v>
      </c>
      <c r="N30" s="196">
        <v>7.5883971713151099E-3</v>
      </c>
      <c r="O30" s="204">
        <v>-8.0789433429195802E-4</v>
      </c>
      <c r="P30" s="204">
        <v>-2.3893298451228202E-3</v>
      </c>
      <c r="Q30" s="204">
        <v>-5.3733072747052897E-3</v>
      </c>
      <c r="R30" s="204">
        <v>-6.6282047104509901E-3</v>
      </c>
      <c r="S30" s="205">
        <v>1.4162641006799001E-2</v>
      </c>
      <c r="T30" s="197">
        <v>0</v>
      </c>
      <c r="U30" s="146">
        <v>2.2267973802025756</v>
      </c>
      <c r="V30" s="192" t="s">
        <v>160</v>
      </c>
      <c r="W30" s="136"/>
      <c r="X30" s="136"/>
      <c r="Y30" s="136"/>
      <c r="Z30" s="136"/>
      <c r="AA30" s="136"/>
      <c r="AB30" s="136"/>
      <c r="AC30" s="136"/>
      <c r="AD30" s="136"/>
    </row>
    <row r="31" spans="1:35">
      <c r="A31" s="136">
        <f t="shared" si="0"/>
        <v>28</v>
      </c>
      <c r="B31" s="193" t="s">
        <v>64</v>
      </c>
      <c r="C31" s="188">
        <v>1</v>
      </c>
      <c r="D31" s="194"/>
      <c r="E31" s="195"/>
      <c r="F31" s="196">
        <v>6.6663150717230198E-3</v>
      </c>
      <c r="G31" s="196">
        <v>1.14732116596081E-2</v>
      </c>
      <c r="H31" s="196">
        <v>-1.25118986277991E-3</v>
      </c>
      <c r="I31" s="196">
        <v>2.9906706696379501E-3</v>
      </c>
      <c r="J31" s="196">
        <v>5.94769928428411E-3</v>
      </c>
      <c r="K31" s="196">
        <v>-1.34322030600424E-2</v>
      </c>
      <c r="L31" s="196">
        <v>5.5009038585508404E-3</v>
      </c>
      <c r="M31" s="196">
        <v>-5.3983236484225197E-3</v>
      </c>
      <c r="N31" s="196">
        <v>7.69938989360532E-3</v>
      </c>
      <c r="O31" s="204">
        <v>-8.26697369808771E-4</v>
      </c>
      <c r="P31" s="204">
        <v>-2.4568381903182202E-3</v>
      </c>
      <c r="Q31" s="204">
        <v>-5.5760756948477104E-3</v>
      </c>
      <c r="R31" s="204">
        <v>-6.8197432261219602E-3</v>
      </c>
      <c r="S31" s="205">
        <v>1.4645828894599399E-2</v>
      </c>
      <c r="T31" s="197">
        <v>0</v>
      </c>
      <c r="U31" s="146">
        <v>2.2826860966391758</v>
      </c>
      <c r="V31" s="192" t="s">
        <v>161</v>
      </c>
      <c r="W31" s="136"/>
      <c r="X31" s="136"/>
      <c r="Y31" s="136"/>
      <c r="Z31" s="136"/>
      <c r="AA31" s="136"/>
      <c r="AB31" s="136"/>
      <c r="AC31" s="136"/>
      <c r="AD31" s="136"/>
    </row>
    <row r="32" spans="1:35">
      <c r="A32" s="136">
        <f t="shared" si="0"/>
        <v>29</v>
      </c>
      <c r="B32" s="222" t="s">
        <v>65</v>
      </c>
      <c r="C32" s="170">
        <v>1</v>
      </c>
      <c r="D32" s="154"/>
      <c r="E32" s="166"/>
      <c r="F32" s="152">
        <v>1.13703181862422E-2</v>
      </c>
      <c r="G32" s="152">
        <v>5.2719572028988599E-3</v>
      </c>
      <c r="H32" s="152">
        <v>2.7016994137461598E-3</v>
      </c>
      <c r="I32" s="152">
        <v>7.0837116483471495E-4</v>
      </c>
      <c r="J32" s="152">
        <v>3.2090292957709298E-3</v>
      </c>
      <c r="K32" s="152">
        <v>-1.83451537996554E-2</v>
      </c>
      <c r="L32" s="152">
        <v>-6.0422545239960102E-3</v>
      </c>
      <c r="M32" s="152">
        <v>-2.4816894999517098E-3</v>
      </c>
      <c r="N32" s="152">
        <v>-7.2506533889444701E-4</v>
      </c>
      <c r="O32" s="204">
        <v>2.7574722273510299E-3</v>
      </c>
      <c r="P32" s="204">
        <v>4.8213994563762403E-3</v>
      </c>
      <c r="Q32" s="204">
        <v>-2.7983159161032501E-3</v>
      </c>
      <c r="R32" s="204">
        <v>6.2814775546706199E-3</v>
      </c>
      <c r="S32" s="205">
        <v>5.2169616884726201E-3</v>
      </c>
      <c r="T32" s="197">
        <v>1</v>
      </c>
      <c r="U32" s="146">
        <v>2.3556623634165121</v>
      </c>
      <c r="V32" s="136"/>
      <c r="W32" s="136"/>
      <c r="X32" s="136"/>
      <c r="Y32" s="136"/>
      <c r="Z32" s="136"/>
      <c r="AA32" s="136"/>
      <c r="AB32" s="136"/>
      <c r="AC32" s="136"/>
      <c r="AD32" s="136"/>
    </row>
    <row r="33" spans="1:22">
      <c r="A33" s="136">
        <f t="shared" si="0"/>
        <v>30</v>
      </c>
      <c r="B33" s="193" t="s">
        <v>66</v>
      </c>
      <c r="C33" s="188">
        <v>1</v>
      </c>
      <c r="D33" s="194"/>
      <c r="E33" s="195"/>
      <c r="F33" s="196">
        <v>5.9036100900754299E-3</v>
      </c>
      <c r="G33" s="196">
        <v>4.1999305330623297E-3</v>
      </c>
      <c r="H33" s="196">
        <v>1.06350071314407E-3</v>
      </c>
      <c r="I33" s="196">
        <v>1.29921780494116E-3</v>
      </c>
      <c r="J33" s="196">
        <v>1.7961146851869401E-3</v>
      </c>
      <c r="K33" s="196">
        <v>-1.14150645393972E-2</v>
      </c>
      <c r="L33" s="196">
        <v>-3.9495439509108698E-3</v>
      </c>
      <c r="M33" s="196">
        <v>-1.9891215060576402E-3</v>
      </c>
      <c r="N33" s="196">
        <v>-7.9086157870083401E-4</v>
      </c>
      <c r="O33" s="204">
        <v>8.6133454049763802E-4</v>
      </c>
      <c r="P33" s="204">
        <v>4.8641392225068497E-3</v>
      </c>
      <c r="Q33" s="204">
        <v>-2.2119074106886098E-3</v>
      </c>
      <c r="R33" s="204">
        <v>-1.67866600474752E-3</v>
      </c>
      <c r="S33" s="205">
        <v>1.16956108350037E-3</v>
      </c>
      <c r="T33" s="197">
        <v>0</v>
      </c>
      <c r="U33" s="146">
        <v>1.445758345898007</v>
      </c>
      <c r="V33" s="192" t="s">
        <v>162</v>
      </c>
    </row>
    <row r="34" spans="1:22">
      <c r="A34" s="136">
        <f t="shared" si="0"/>
        <v>31</v>
      </c>
      <c r="B34" s="193" t="s">
        <v>67</v>
      </c>
      <c r="C34" s="188">
        <v>1</v>
      </c>
      <c r="D34" s="194"/>
      <c r="E34" s="195"/>
      <c r="F34" s="196">
        <v>5.8168666839091797E-3</v>
      </c>
      <c r="G34" s="196">
        <v>3.8769434449791801E-3</v>
      </c>
      <c r="H34" s="196">
        <v>-1.20904249830797E-3</v>
      </c>
      <c r="I34" s="196">
        <v>1.33243125758176E-3</v>
      </c>
      <c r="J34" s="196">
        <v>1.7306617748408101E-3</v>
      </c>
      <c r="K34" s="196">
        <v>-1.0995229916486601E-2</v>
      </c>
      <c r="L34" s="196">
        <v>-3.8679216301888502E-3</v>
      </c>
      <c r="M34" s="196">
        <v>-1.83328218606933E-3</v>
      </c>
      <c r="N34" s="196">
        <v>-7.9708762475728002E-4</v>
      </c>
      <c r="O34" s="204">
        <v>-1.5909771442741299E-3</v>
      </c>
      <c r="P34" s="204">
        <v>6.2793003677202803E-3</v>
      </c>
      <c r="Q34" s="204">
        <v>-2.0582949711867699E-3</v>
      </c>
      <c r="R34" s="204">
        <v>-2.3623311784451602E-3</v>
      </c>
      <c r="S34" s="205">
        <v>4.9234617341281702E-3</v>
      </c>
      <c r="T34" s="197">
        <v>0</v>
      </c>
      <c r="U34" s="146">
        <v>1.3962490694740517</v>
      </c>
      <c r="V34" s="192" t="s">
        <v>164</v>
      </c>
    </row>
    <row r="35" spans="1:22">
      <c r="A35" s="136">
        <f t="shared" si="0"/>
        <v>32</v>
      </c>
      <c r="B35" s="193" t="s">
        <v>68</v>
      </c>
      <c r="C35" s="188">
        <v>1</v>
      </c>
      <c r="D35" s="194"/>
      <c r="E35" s="195"/>
      <c r="F35" s="196">
        <v>5.7194442838952404E-3</v>
      </c>
      <c r="G35" s="196">
        <v>3.79187939797598E-3</v>
      </c>
      <c r="H35" s="196">
        <v>-2.34424708214862E-4</v>
      </c>
      <c r="I35" s="196">
        <v>1.3604741177783001E-3</v>
      </c>
      <c r="J35" s="196">
        <v>1.70611693346102E-3</v>
      </c>
      <c r="K35" s="196">
        <v>-1.07882200470182E-2</v>
      </c>
      <c r="L35" s="196">
        <v>-3.7823700073751801E-3</v>
      </c>
      <c r="M35" s="196">
        <v>-1.79392965752056E-3</v>
      </c>
      <c r="N35" s="196">
        <v>-7.68878255587953E-4</v>
      </c>
      <c r="O35" s="204">
        <v>-5.4818624222890305E-4</v>
      </c>
      <c r="P35" s="204">
        <v>-8.3701036546410799E-4</v>
      </c>
      <c r="Q35" s="204">
        <v>-2.01472489743716E-3</v>
      </c>
      <c r="R35" s="204">
        <v>-2.3471340553290199E-3</v>
      </c>
      <c r="S35" s="205">
        <v>4.7015250402565904E-3</v>
      </c>
      <c r="T35" s="197">
        <v>0</v>
      </c>
      <c r="U35" s="146">
        <v>1.3653147772166307</v>
      </c>
      <c r="V35" s="192" t="s">
        <v>163</v>
      </c>
    </row>
    <row r="36" spans="1:22">
      <c r="A36" s="136">
        <f t="shared" si="0"/>
        <v>33</v>
      </c>
      <c r="B36" s="222" t="s">
        <v>69</v>
      </c>
      <c r="C36" s="170">
        <v>1</v>
      </c>
      <c r="D36" s="154"/>
      <c r="E36" s="166"/>
      <c r="F36" s="152">
        <v>4.2366566206061603E-3</v>
      </c>
      <c r="G36" s="152">
        <v>4.76145087777065E-3</v>
      </c>
      <c r="H36" s="152">
        <v>6.8289400663410106E-5</v>
      </c>
      <c r="I36" s="152">
        <v>-6.3269802365357401E-4</v>
      </c>
      <c r="J36" s="152">
        <v>1.40473299679072E-3</v>
      </c>
      <c r="K36" s="152">
        <v>7.3483136076067899E-3</v>
      </c>
      <c r="L36" s="152">
        <v>5.1072592308236296E-3</v>
      </c>
      <c r="M36" s="152">
        <v>-2.2536763198308901E-3</v>
      </c>
      <c r="N36" s="152">
        <v>2.2025598734252499E-3</v>
      </c>
      <c r="O36" s="204">
        <v>2.1588146792612099E-4</v>
      </c>
      <c r="P36" s="204">
        <v>1.1360024984605699E-5</v>
      </c>
      <c r="Q36" s="204">
        <v>-1.0561832749457099E-3</v>
      </c>
      <c r="R36" s="204">
        <v>-1.1644966726514999E-3</v>
      </c>
      <c r="S36" s="205">
        <v>5.8258835073316997E-3</v>
      </c>
      <c r="T36" s="197">
        <v>1</v>
      </c>
      <c r="U36" s="146">
        <v>1.1533041900693914</v>
      </c>
      <c r="V36" s="136"/>
    </row>
    <row r="37" spans="1:22">
      <c r="A37" s="136">
        <f t="shared" si="0"/>
        <v>34</v>
      </c>
      <c r="B37" s="193" t="s">
        <v>70</v>
      </c>
      <c r="C37" s="188">
        <v>1</v>
      </c>
      <c r="D37" s="194"/>
      <c r="E37" s="195"/>
      <c r="F37" s="196">
        <v>1.2656668567964701E-2</v>
      </c>
      <c r="G37" s="196">
        <v>5.4741826345836402E-3</v>
      </c>
      <c r="H37" s="196">
        <v>3.0643801525819898E-3</v>
      </c>
      <c r="I37" s="196">
        <v>1.07949804131875E-3</v>
      </c>
      <c r="J37" s="196">
        <v>-2.0454869341714802E-3</v>
      </c>
      <c r="K37" s="196">
        <v>9.1521800760425796E-3</v>
      </c>
      <c r="L37" s="196">
        <v>2.9062547106973899E-3</v>
      </c>
      <c r="M37" s="196">
        <v>-2.59090103401248E-3</v>
      </c>
      <c r="N37" s="196">
        <v>-7.3282868027347203E-4</v>
      </c>
      <c r="O37" s="204">
        <v>3.12257628165307E-3</v>
      </c>
      <c r="P37" s="204">
        <v>5.5719991399902401E-3</v>
      </c>
      <c r="Q37" s="204">
        <v>7.21676826686513E-3</v>
      </c>
      <c r="R37" s="204">
        <v>7.2801065277257101E-3</v>
      </c>
      <c r="S37" s="205">
        <v>5.4060155170889404E-3</v>
      </c>
      <c r="T37" s="197">
        <v>0</v>
      </c>
      <c r="U37" s="146">
        <v>1.7445807975704029</v>
      </c>
      <c r="V37" s="192" t="s">
        <v>156</v>
      </c>
    </row>
    <row r="38" spans="1:22">
      <c r="A38" s="136">
        <f t="shared" si="0"/>
        <v>35</v>
      </c>
      <c r="B38" s="222" t="s">
        <v>71</v>
      </c>
      <c r="C38" s="170">
        <v>1</v>
      </c>
      <c r="D38" s="154"/>
      <c r="E38" s="166"/>
      <c r="F38" s="152">
        <v>1.30801749818714E-2</v>
      </c>
      <c r="G38" s="152">
        <v>6.3717486800427504E-3</v>
      </c>
      <c r="H38" s="152">
        <v>2.9804055302037002E-3</v>
      </c>
      <c r="I38" s="152">
        <v>7.9523711789473896E-4</v>
      </c>
      <c r="J38" s="152">
        <v>3.0570015537552402E-3</v>
      </c>
      <c r="K38" s="152">
        <v>-5.6716589085677397E-3</v>
      </c>
      <c r="L38" s="152">
        <v>-1.3367366646035799E-3</v>
      </c>
      <c r="M38" s="152">
        <v>-3.0108818008775201E-3</v>
      </c>
      <c r="N38" s="152">
        <v>-9.6772740556356405E-5</v>
      </c>
      <c r="O38" s="204">
        <v>3.0638344676888899E-3</v>
      </c>
      <c r="P38" s="204">
        <v>5.3475920890648301E-3</v>
      </c>
      <c r="Q38" s="204">
        <v>-1.9271378773866601E-3</v>
      </c>
      <c r="R38" s="204">
        <v>6.7918133782328399E-3</v>
      </c>
      <c r="S38" s="205">
        <v>6.4449510036248998E-3</v>
      </c>
      <c r="T38" s="197">
        <v>1</v>
      </c>
      <c r="U38" s="146">
        <v>1.6540253636616666</v>
      </c>
      <c r="V38" s="136"/>
    </row>
    <row r="39" spans="1:22">
      <c r="A39" s="136">
        <f t="shared" si="0"/>
        <v>36</v>
      </c>
      <c r="B39" s="222" t="s">
        <v>72</v>
      </c>
      <c r="C39" s="170">
        <v>1</v>
      </c>
      <c r="D39" s="154"/>
      <c r="E39" s="166"/>
      <c r="F39" s="152">
        <v>1.54850094560617E-2</v>
      </c>
      <c r="G39" s="152">
        <v>9.8469262100513207E-3</v>
      </c>
      <c r="H39" s="152">
        <v>2.8278214005964001E-3</v>
      </c>
      <c r="I39" s="152">
        <v>1.01100289905993E-4</v>
      </c>
      <c r="J39" s="152">
        <v>4.0257714155619399E-3</v>
      </c>
      <c r="K39" s="152">
        <v>-1.2271462759112299E-2</v>
      </c>
      <c r="L39" s="152">
        <v>-3.3955718908682698E-3</v>
      </c>
      <c r="M39" s="152">
        <v>-4.6392993530312001E-3</v>
      </c>
      <c r="N39" s="152">
        <v>-4.7771452149146499E-4</v>
      </c>
      <c r="O39" s="204">
        <v>3.0071426087246601E-3</v>
      </c>
      <c r="P39" s="204">
        <v>4.8844382835449198E-3</v>
      </c>
      <c r="Q39" s="204">
        <v>-3.7764082127131199E-3</v>
      </c>
      <c r="R39" s="204">
        <v>5.3256332750731298E-3</v>
      </c>
      <c r="S39" s="205">
        <v>1.07048673162799E-2</v>
      </c>
      <c r="T39" s="197">
        <v>1</v>
      </c>
      <c r="U39" s="146">
        <v>2.3341617781091695</v>
      </c>
      <c r="V39" s="136"/>
    </row>
    <row r="40" spans="1:22">
      <c r="A40" s="136">
        <f t="shared" si="0"/>
        <v>37</v>
      </c>
      <c r="B40" s="193" t="s">
        <v>73</v>
      </c>
      <c r="C40" s="188">
        <v>1</v>
      </c>
      <c r="D40" s="194"/>
      <c r="E40" s="195"/>
      <c r="F40" s="196">
        <v>1.0600587550747401E-2</v>
      </c>
      <c r="G40" s="196">
        <v>7.8228412465678396E-3</v>
      </c>
      <c r="H40" s="196">
        <v>1.3275886297720999E-3</v>
      </c>
      <c r="I40" s="196">
        <v>7.8343600102243895E-4</v>
      </c>
      <c r="J40" s="196">
        <v>2.5726166228518901E-3</v>
      </c>
      <c r="K40" s="196">
        <v>-4.79835279545179E-3</v>
      </c>
      <c r="L40" s="196">
        <v>-1.12687621198132E-3</v>
      </c>
      <c r="M40" s="196">
        <v>-3.6897129183438302E-3</v>
      </c>
      <c r="N40" s="196">
        <v>-3.7217919759640797E-4</v>
      </c>
      <c r="O40" s="204">
        <v>1.2600861320402801E-3</v>
      </c>
      <c r="P40" s="204">
        <v>5.2785007895682903E-3</v>
      </c>
      <c r="Q40" s="204">
        <v>-2.7411162295396599E-3</v>
      </c>
      <c r="R40" s="204">
        <v>-2.3007212198662202E-3</v>
      </c>
      <c r="S40" s="205">
        <v>6.8046696205081797E-3</v>
      </c>
      <c r="T40" s="197">
        <v>0</v>
      </c>
      <c r="U40" s="146">
        <v>1.485296131205835</v>
      </c>
      <c r="V40" s="192" t="s">
        <v>168</v>
      </c>
    </row>
    <row r="41" spans="1:22">
      <c r="A41" s="136">
        <f t="shared" si="0"/>
        <v>38</v>
      </c>
      <c r="B41" s="193" t="s">
        <v>74</v>
      </c>
      <c r="C41" s="188">
        <v>1</v>
      </c>
      <c r="D41" s="194"/>
      <c r="E41" s="195"/>
      <c r="F41" s="196">
        <v>1.05470052307398E-2</v>
      </c>
      <c r="G41" s="196">
        <v>7.5387248887149897E-3</v>
      </c>
      <c r="H41" s="196">
        <v>-1.10170009664017E-3</v>
      </c>
      <c r="I41" s="196">
        <v>8.0545664178415302E-4</v>
      </c>
      <c r="J41" s="196">
        <v>2.5170150433997001E-3</v>
      </c>
      <c r="K41" s="196">
        <v>-4.46609927116244E-3</v>
      </c>
      <c r="L41" s="196">
        <v>-1.0780576102365699E-3</v>
      </c>
      <c r="M41" s="196">
        <v>-3.5606597732500602E-3</v>
      </c>
      <c r="N41" s="196">
        <v>-3.8916631091090703E-4</v>
      </c>
      <c r="O41" s="204">
        <v>-1.35820121962426E-3</v>
      </c>
      <c r="P41" s="204">
        <v>6.7888254227675198E-3</v>
      </c>
      <c r="Q41" s="204">
        <v>-2.6133106798741298E-3</v>
      </c>
      <c r="R41" s="204">
        <v>-2.9427654437683098E-3</v>
      </c>
      <c r="S41" s="205">
        <v>1.08902976886697E-2</v>
      </c>
      <c r="T41" s="197">
        <v>0</v>
      </c>
      <c r="U41" s="146">
        <v>1.4498536473302086</v>
      </c>
      <c r="V41" s="192" t="s">
        <v>169</v>
      </c>
    </row>
    <row r="42" spans="1:22">
      <c r="A42" s="136">
        <f t="shared" si="0"/>
        <v>39</v>
      </c>
      <c r="B42" s="193" t="s">
        <v>75</v>
      </c>
      <c r="C42" s="188">
        <v>1</v>
      </c>
      <c r="D42" s="194"/>
      <c r="E42" s="195"/>
      <c r="F42" s="196">
        <v>1.04283185184151E-2</v>
      </c>
      <c r="G42" s="196">
        <v>7.4620207946812598E-3</v>
      </c>
      <c r="H42" s="196">
        <v>-8.3654515812677397E-5</v>
      </c>
      <c r="I42" s="196">
        <v>8.3568939995700504E-4</v>
      </c>
      <c r="J42" s="196">
        <v>2.4853739043420699E-3</v>
      </c>
      <c r="K42" s="196">
        <v>-4.2583737236665097E-3</v>
      </c>
      <c r="L42" s="196">
        <v>-9.9018412709601391E-4</v>
      </c>
      <c r="M42" s="196">
        <v>-3.5413142024928999E-3</v>
      </c>
      <c r="N42" s="196">
        <v>-3.6456958574964098E-4</v>
      </c>
      <c r="O42" s="204">
        <v>-2.69887178959375E-4</v>
      </c>
      <c r="P42" s="204">
        <v>-6.3411287004233802E-4</v>
      </c>
      <c r="Q42" s="204">
        <v>-2.5803538292173702E-3</v>
      </c>
      <c r="R42" s="204">
        <v>-2.95673036771287E-3</v>
      </c>
      <c r="S42" s="205">
        <v>9.16553252486778E-3</v>
      </c>
      <c r="T42" s="197">
        <v>0</v>
      </c>
      <c r="U42" s="146">
        <v>1.4251388297179108</v>
      </c>
      <c r="V42" s="192" t="s">
        <v>170</v>
      </c>
    </row>
    <row r="43" spans="1:22">
      <c r="A43" s="136">
        <f t="shared" si="0"/>
        <v>40</v>
      </c>
      <c r="B43" s="193" t="s">
        <v>76</v>
      </c>
      <c r="C43" s="188">
        <v>1</v>
      </c>
      <c r="D43" s="194"/>
      <c r="E43" s="195"/>
      <c r="F43" s="196">
        <v>1.4438374383604201E-2</v>
      </c>
      <c r="G43" s="196">
        <v>8.0064551041235197E-3</v>
      </c>
      <c r="H43" s="196">
        <v>3.12626742193321E-3</v>
      </c>
      <c r="I43" s="196">
        <v>7.7972534056259201E-4</v>
      </c>
      <c r="J43" s="196">
        <v>-4.4999710721512296E-3</v>
      </c>
      <c r="K43" s="196">
        <v>1.3183862784483099E-2</v>
      </c>
      <c r="L43" s="196">
        <v>4.0918323145327697E-3</v>
      </c>
      <c r="M43" s="196">
        <v>-3.77842145433717E-3</v>
      </c>
      <c r="N43" s="196">
        <v>-1.6087026903129299E-3</v>
      </c>
      <c r="O43" s="204">
        <v>3.2558940447534801E-3</v>
      </c>
      <c r="P43" s="204">
        <v>5.6284268050777004E-3</v>
      </c>
      <c r="Q43" s="204">
        <v>6.8590467895670399E-3</v>
      </c>
      <c r="R43" s="204">
        <v>6.7265068221391599E-3</v>
      </c>
      <c r="S43" s="205">
        <v>8.4933813948567197E-3</v>
      </c>
      <c r="T43" s="197">
        <v>0</v>
      </c>
      <c r="U43" s="146">
        <v>2.2596967939716301</v>
      </c>
      <c r="V43" s="192" t="s">
        <v>167</v>
      </c>
    </row>
    <row r="44" spans="1:22">
      <c r="A44" s="136">
        <f t="shared" si="0"/>
        <v>41</v>
      </c>
      <c r="B44" s="222" t="s">
        <v>77</v>
      </c>
      <c r="C44" s="170">
        <v>1</v>
      </c>
      <c r="D44" s="154"/>
      <c r="E44" s="166"/>
      <c r="F44" s="152">
        <v>1.50926032698517E-2</v>
      </c>
      <c r="G44" s="152">
        <v>8.9596728073063799E-3</v>
      </c>
      <c r="H44" s="152">
        <v>2.9614125406441901E-3</v>
      </c>
      <c r="I44" s="152">
        <v>3.89862670281296E-4</v>
      </c>
      <c r="J44" s="152">
        <v>7.3784798678452304E-4</v>
      </c>
      <c r="K44" s="152">
        <v>-2.1536541044000598E-3</v>
      </c>
      <c r="L44" s="152">
        <v>-4.4579718276184201E-4</v>
      </c>
      <c r="M44" s="152">
        <v>-4.2268418636828399E-3</v>
      </c>
      <c r="N44" s="152">
        <v>-8.2068510795886996E-4</v>
      </c>
      <c r="O44" s="204">
        <v>3.11557815941185E-3</v>
      </c>
      <c r="P44" s="204">
        <v>5.2034501327027803E-3</v>
      </c>
      <c r="Q44" s="204">
        <v>-3.0731425351392598E-3</v>
      </c>
      <c r="R44" s="204">
        <v>5.9674721324466202E-3</v>
      </c>
      <c r="S44" s="205">
        <v>9.6292443354508792E-3</v>
      </c>
      <c r="T44" s="197">
        <v>1</v>
      </c>
      <c r="U44" s="146">
        <v>1.8463625439789824</v>
      </c>
      <c r="V44" s="136"/>
    </row>
    <row r="45" spans="1:22">
      <c r="A45" s="136">
        <f t="shared" si="0"/>
        <v>42</v>
      </c>
      <c r="B45" s="193" t="s">
        <v>78</v>
      </c>
      <c r="C45" s="188">
        <v>1</v>
      </c>
      <c r="D45" s="194"/>
      <c r="E45" s="195"/>
      <c r="F45" s="196">
        <v>1.7889843930251899E-2</v>
      </c>
      <c r="G45" s="196">
        <v>1.3012724458635E-2</v>
      </c>
      <c r="H45" s="196">
        <v>2.7852472273702999E-3</v>
      </c>
      <c r="I45" s="196">
        <v>-4.17966360977186E-4</v>
      </c>
      <c r="J45" s="196">
        <v>1.88778215401353E-3</v>
      </c>
      <c r="K45" s="196">
        <v>-9.8000476104807797E-3</v>
      </c>
      <c r="L45" s="196">
        <v>-2.8049263446369402E-3</v>
      </c>
      <c r="M45" s="196">
        <v>-6.1035275738868496E-3</v>
      </c>
      <c r="N45" s="196">
        <v>-1.2512046630471501E-3</v>
      </c>
      <c r="O45" s="204">
        <v>3.0669447442405401E-3</v>
      </c>
      <c r="P45" s="204">
        <v>4.5952232212319198E-3</v>
      </c>
      <c r="Q45" s="204">
        <v>-5.18517393061722E-3</v>
      </c>
      <c r="R45" s="204">
        <v>4.2701177735968198E-3</v>
      </c>
      <c r="S45" s="205">
        <v>1.45815125465795E-2</v>
      </c>
      <c r="T45" s="197">
        <v>0</v>
      </c>
      <c r="U45" s="146">
        <v>2.536928536760898</v>
      </c>
      <c r="V45" s="192" t="s">
        <v>171</v>
      </c>
    </row>
    <row r="46" spans="1:22">
      <c r="A46" s="136">
        <f t="shared" si="0"/>
        <v>43</v>
      </c>
      <c r="B46" s="193" t="s">
        <v>79</v>
      </c>
      <c r="C46" s="188">
        <v>1</v>
      </c>
      <c r="D46" s="194"/>
      <c r="E46" s="195"/>
      <c r="F46" s="196">
        <v>1.34317387003833E-2</v>
      </c>
      <c r="G46" s="196">
        <v>9.6406733557681101E-3</v>
      </c>
      <c r="H46" s="196">
        <v>1.37827216932698E-3</v>
      </c>
      <c r="I46" s="196">
        <v>4.1778386947916002E-4</v>
      </c>
      <c r="J46" s="196">
        <v>4.18180647861923E-4</v>
      </c>
      <c r="K46" s="196">
        <v>-1.35370498910782E-3</v>
      </c>
      <c r="L46" s="196">
        <v>-2.4647440393082601E-4</v>
      </c>
      <c r="M46" s="196">
        <v>-4.5545591392444499E-3</v>
      </c>
      <c r="N46" s="196">
        <v>-9.7533701741032996E-4</v>
      </c>
      <c r="O46" s="204">
        <v>1.3914953163476399E-3</v>
      </c>
      <c r="P46" s="204">
        <v>5.5186442685461398E-3</v>
      </c>
      <c r="Q46" s="204">
        <v>-3.53487359874732E-3</v>
      </c>
      <c r="R46" s="204">
        <v>-3.3256371085816599E-3</v>
      </c>
      <c r="S46" s="205">
        <v>1.06191725765237E-2</v>
      </c>
      <c r="T46" s="197">
        <v>0</v>
      </c>
      <c r="U46" s="146">
        <v>1.7297161557212521</v>
      </c>
      <c r="V46" s="192" t="s">
        <v>174</v>
      </c>
    </row>
    <row r="47" spans="1:22">
      <c r="A47" s="136">
        <f t="shared" si="0"/>
        <v>44</v>
      </c>
      <c r="B47" s="193" t="s">
        <v>80</v>
      </c>
      <c r="C47" s="188">
        <v>1</v>
      </c>
      <c r="D47" s="194"/>
      <c r="E47" s="195"/>
      <c r="F47" s="196">
        <v>1.34351110142299E-2</v>
      </c>
      <c r="G47" s="196">
        <v>9.4042148319966705E-3</v>
      </c>
      <c r="H47" s="196">
        <v>-1.3520234309469801E-3</v>
      </c>
      <c r="I47" s="196">
        <v>4.2727342737647399E-4</v>
      </c>
      <c r="J47" s="196">
        <v>3.7810743744592701E-4</v>
      </c>
      <c r="K47" s="196">
        <v>-1.1186942168116101E-3</v>
      </c>
      <c r="L47" s="196">
        <v>-2.36948823102581E-4</v>
      </c>
      <c r="M47" s="196">
        <v>-4.4321198644950198E-3</v>
      </c>
      <c r="N47" s="196">
        <v>-1.00116357882966E-3</v>
      </c>
      <c r="O47" s="204">
        <v>-1.54637295099928E-3</v>
      </c>
      <c r="P47" s="204">
        <v>7.1442452208514504E-3</v>
      </c>
      <c r="Q47" s="204">
        <v>-3.4200273530688601E-3</v>
      </c>
      <c r="R47" s="204">
        <v>-3.9174349884871498E-3</v>
      </c>
      <c r="S47" s="205">
        <v>1.5310461352940501E-2</v>
      </c>
      <c r="T47" s="197">
        <v>0</v>
      </c>
      <c r="U47" s="146">
        <v>1.7118662221247753</v>
      </c>
      <c r="V47" s="192" t="s">
        <v>175</v>
      </c>
    </row>
    <row r="48" spans="1:22">
      <c r="A48" s="136">
        <f t="shared" si="0"/>
        <v>45</v>
      </c>
      <c r="B48" s="193" t="s">
        <v>81</v>
      </c>
      <c r="C48" s="188">
        <v>1</v>
      </c>
      <c r="D48" s="194"/>
      <c r="E48" s="195"/>
      <c r="F48" s="196">
        <v>1.3315674898828201E-2</v>
      </c>
      <c r="G48" s="196">
        <v>9.3273886948539008E-3</v>
      </c>
      <c r="H48" s="196">
        <v>-2.3655875198559399E-4</v>
      </c>
      <c r="I48" s="196">
        <v>4.5811449054274301E-4</v>
      </c>
      <c r="J48" s="196">
        <v>3.4997270429969603E-4</v>
      </c>
      <c r="K48" s="196">
        <v>-8.9513429295618005E-4</v>
      </c>
      <c r="L48" s="196">
        <v>-1.4157394505978299E-4</v>
      </c>
      <c r="M48" s="196">
        <v>-4.3996292264284901E-3</v>
      </c>
      <c r="N48" s="196">
        <v>-9.7011021331356098E-4</v>
      </c>
      <c r="O48" s="204">
        <v>-3.5315776481954802E-4</v>
      </c>
      <c r="P48" s="204">
        <v>-9.37015831312195E-4</v>
      </c>
      <c r="Q48" s="204">
        <v>-3.3814845955211299E-3</v>
      </c>
      <c r="R48" s="204">
        <v>-3.9088780497956296E-3</v>
      </c>
      <c r="S48" s="205">
        <v>1.1552393727652301E-2</v>
      </c>
      <c r="T48" s="197">
        <v>0</v>
      </c>
      <c r="U48" s="146">
        <v>1.690605948883056</v>
      </c>
      <c r="V48" s="192" t="s">
        <v>176</v>
      </c>
    </row>
    <row r="49" spans="1:22">
      <c r="A49" s="136">
        <f t="shared" si="0"/>
        <v>46</v>
      </c>
      <c r="B49" s="193" t="s">
        <v>82</v>
      </c>
      <c r="C49" s="188">
        <v>1</v>
      </c>
      <c r="D49" s="194"/>
      <c r="E49" s="195"/>
      <c r="F49" s="196">
        <v>-4.2247598467583098E-5</v>
      </c>
      <c r="G49" s="196">
        <v>1.22043109043321E-7</v>
      </c>
      <c r="H49" s="196">
        <v>-5.3351094268289198E-7</v>
      </c>
      <c r="I49" s="196">
        <v>-3.0415249670876502E-7</v>
      </c>
      <c r="J49" s="196">
        <v>1.66971710066649E-7</v>
      </c>
      <c r="K49" s="196">
        <v>-4.47298767217759E-7</v>
      </c>
      <c r="L49" s="196">
        <v>-2.3813952070611199E-7</v>
      </c>
      <c r="M49" s="196">
        <v>2.4802013791242398E-7</v>
      </c>
      <c r="N49" s="196">
        <v>0</v>
      </c>
      <c r="O49" s="204">
        <v>-5.6550482757333602E-7</v>
      </c>
      <c r="P49" s="204">
        <v>2.7934487667063301E-6</v>
      </c>
      <c r="Q49" s="204">
        <v>-7.8202696473661603E-7</v>
      </c>
      <c r="R49" s="204">
        <v>1.3691101906431099E-7</v>
      </c>
      <c r="S49" s="205">
        <v>2.7175921698560299E-7</v>
      </c>
      <c r="T49" s="197">
        <v>0</v>
      </c>
      <c r="U49" s="146">
        <v>4.2256334360957779E-3</v>
      </c>
      <c r="V49" s="192" t="s">
        <v>177</v>
      </c>
    </row>
    <row r="50" spans="1:22">
      <c r="A50" s="136">
        <f t="shared" si="0"/>
        <v>47</v>
      </c>
      <c r="B50" s="193" t="s">
        <v>83</v>
      </c>
      <c r="C50" s="188">
        <v>1</v>
      </c>
      <c r="D50" s="194"/>
      <c r="E50" s="195"/>
      <c r="F50" s="196">
        <v>1.2113819714040901E-2</v>
      </c>
      <c r="G50" s="196">
        <v>4.8146006517590196E-3</v>
      </c>
      <c r="H50" s="196">
        <v>3.1009790032500398E-3</v>
      </c>
      <c r="I50" s="196">
        <v>1.20091571800489E-3</v>
      </c>
      <c r="J50" s="196">
        <v>-1.2920270924957301E-3</v>
      </c>
      <c r="K50" s="196">
        <v>7.9486780129664706E-3</v>
      </c>
      <c r="L50" s="196">
        <v>2.6014361241935699E-3</v>
      </c>
      <c r="M50" s="196">
        <v>-2.2793050674151799E-3</v>
      </c>
      <c r="N50" s="196">
        <v>-4.9193450322532195E-4</v>
      </c>
      <c r="O50" s="204">
        <v>3.1405310599285198E-3</v>
      </c>
      <c r="P50" s="204">
        <v>5.66986296178385E-3</v>
      </c>
      <c r="Q50" s="204">
        <v>7.4591966259334799E-3</v>
      </c>
      <c r="R50" s="204">
        <v>7.5841859010675498E-3</v>
      </c>
      <c r="S50" s="205">
        <v>4.5796863246413801E-3</v>
      </c>
      <c r="T50" s="197">
        <v>0</v>
      </c>
      <c r="U50" s="146">
        <v>1.6063585965038443</v>
      </c>
      <c r="V50" s="192" t="s">
        <v>157</v>
      </c>
    </row>
    <row r="51" spans="1:22">
      <c r="A51" s="136">
        <f t="shared" si="0"/>
        <v>48</v>
      </c>
      <c r="B51" s="193" t="s">
        <v>84</v>
      </c>
      <c r="C51" s="188">
        <v>1</v>
      </c>
      <c r="D51" s="194"/>
      <c r="E51" s="195"/>
      <c r="F51" s="196">
        <v>1.46540151190197E-2</v>
      </c>
      <c r="G51" s="196">
        <v>7.8574404679816207E-3</v>
      </c>
      <c r="H51" s="196">
        <v>3.0951103828805301E-3</v>
      </c>
      <c r="I51" s="196">
        <v>7.7875205257312398E-4</v>
      </c>
      <c r="J51" s="196">
        <v>-4.3983687865756698E-3</v>
      </c>
      <c r="K51" s="196">
        <v>1.29628077337241E-2</v>
      </c>
      <c r="L51" s="196">
        <v>4.0218192954451703E-3</v>
      </c>
      <c r="M51" s="196">
        <v>-3.7085624488251701E-3</v>
      </c>
      <c r="N51" s="196">
        <v>-1.57111581967587E-3</v>
      </c>
      <c r="O51" s="204">
        <v>3.22111549785772E-3</v>
      </c>
      <c r="P51" s="204">
        <v>5.5712542203191096E-3</v>
      </c>
      <c r="Q51" s="204">
        <v>6.8019588211412699E-3</v>
      </c>
      <c r="R51" s="204">
        <v>6.6744806348947297E-3</v>
      </c>
      <c r="S51" s="205">
        <v>8.3287858957690995E-3</v>
      </c>
      <c r="T51" s="197">
        <v>0</v>
      </c>
      <c r="U51" s="146">
        <v>2.2504279503753111</v>
      </c>
      <c r="V51" s="136"/>
    </row>
    <row r="52" spans="1:22" ht="15.75" thickBot="1">
      <c r="A52" s="136">
        <f t="shared" si="0"/>
        <v>49</v>
      </c>
      <c r="B52" s="193" t="s">
        <v>25</v>
      </c>
      <c r="C52" s="188">
        <v>1</v>
      </c>
      <c r="D52" s="194"/>
      <c r="E52" s="195"/>
      <c r="F52" s="196">
        <v>-9.1614526166953995E-5</v>
      </c>
      <c r="G52" s="196">
        <v>1.1960224686245399E-5</v>
      </c>
      <c r="H52" s="196">
        <v>1.6469482800620799E-3</v>
      </c>
      <c r="I52" s="196">
        <v>1.49643028380712E-5</v>
      </c>
      <c r="J52" s="196">
        <v>7.3467552429325598E-5</v>
      </c>
      <c r="K52" s="196">
        <v>-1.2962718273970599E-4</v>
      </c>
      <c r="L52" s="196">
        <v>3.5720928105916801E-6</v>
      </c>
      <c r="M52" s="196">
        <v>-9.6727853785845494E-6</v>
      </c>
      <c r="N52" s="196">
        <v>4.3428592862860501E-5</v>
      </c>
      <c r="O52" s="204">
        <v>-2.7641875971784698E-3</v>
      </c>
      <c r="P52" s="204">
        <v>-3.70876881259711E-4</v>
      </c>
      <c r="Q52" s="204">
        <v>-1.8321774602400701E-5</v>
      </c>
      <c r="R52" s="204">
        <v>3.5501027243376002E-4</v>
      </c>
      <c r="S52" s="205">
        <v>-4.4450749258278502E-4</v>
      </c>
      <c r="T52" s="197"/>
      <c r="U52" s="146">
        <v>0.16569224149021819</v>
      </c>
      <c r="V52" s="192" t="s">
        <v>148</v>
      </c>
    </row>
    <row r="53" spans="1:22">
      <c r="A53" s="136">
        <f t="shared" si="0"/>
        <v>50</v>
      </c>
      <c r="B53" s="187" t="s">
        <v>26</v>
      </c>
      <c r="C53" s="207">
        <v>1</v>
      </c>
      <c r="D53" s="189"/>
      <c r="E53" s="190"/>
      <c r="F53" s="191">
        <v>4.2095844344484396E-3</v>
      </c>
      <c r="G53" s="191">
        <v>3.1323584367058798E-3</v>
      </c>
      <c r="H53" s="191">
        <v>-4.1016321273460701E-4</v>
      </c>
      <c r="I53" s="191">
        <v>-8.06247438275596E-4</v>
      </c>
      <c r="J53" s="191">
        <v>1.4366245934134499E-3</v>
      </c>
      <c r="K53" s="191">
        <v>-8.1891458302227396E-3</v>
      </c>
      <c r="L53" s="191">
        <v>-2.4907607819454002E-3</v>
      </c>
      <c r="M53" s="191">
        <v>-1.50440748319746E-3</v>
      </c>
      <c r="N53" s="191">
        <v>-2.7041024724166899E-4</v>
      </c>
      <c r="O53" s="214">
        <v>-2.8685232378657501E-4</v>
      </c>
      <c r="P53" s="214">
        <v>-7.7089874465205801E-4</v>
      </c>
      <c r="Q53" s="214">
        <v>-1.7155437243564901E-3</v>
      </c>
      <c r="R53" s="214">
        <v>-2.0199167197653199E-3</v>
      </c>
      <c r="S53" s="215">
        <v>3.9904217558109304E-3</v>
      </c>
      <c r="T53" s="197">
        <v>0</v>
      </c>
      <c r="U53" s="146">
        <v>1.0296445589658876</v>
      </c>
      <c r="V53" s="192" t="s">
        <v>166</v>
      </c>
    </row>
    <row r="54" spans="1:22">
      <c r="A54" s="136">
        <f t="shared" si="0"/>
        <v>51</v>
      </c>
      <c r="B54" s="193" t="s">
        <v>27</v>
      </c>
      <c r="C54" s="188">
        <v>1</v>
      </c>
      <c r="D54" s="194"/>
      <c r="E54" s="195"/>
      <c r="F54" s="196">
        <v>-8.6275029243113095E-5</v>
      </c>
      <c r="G54" s="196">
        <v>-3.64237658939792E-4</v>
      </c>
      <c r="H54" s="196">
        <v>-3.2297685448136899E-3</v>
      </c>
      <c r="I54" s="196">
        <v>2.7860368698522899E-5</v>
      </c>
      <c r="J54" s="196">
        <v>2.60475867703972E-5</v>
      </c>
      <c r="K54" s="196">
        <v>1.3240043509645601E-4</v>
      </c>
      <c r="L54" s="196">
        <v>-2.6552556558731501E-5</v>
      </c>
      <c r="M54" s="196">
        <v>1.5335911860918201E-4</v>
      </c>
      <c r="N54" s="196">
        <v>-1.4988629395146499E-5</v>
      </c>
      <c r="O54" s="204">
        <v>7.4831133189676201E-3</v>
      </c>
      <c r="P54" s="204">
        <v>9.2975286451875904E-4</v>
      </c>
      <c r="Q54" s="204">
        <v>1.3897736344747801E-4</v>
      </c>
      <c r="R54" s="204">
        <v>-6.6388153144284704E-4</v>
      </c>
      <c r="S54" s="205">
        <v>5.1117908714991896E-4</v>
      </c>
      <c r="T54" s="197"/>
      <c r="U54" s="146">
        <v>0.32580593264387658</v>
      </c>
      <c r="V54" s="192" t="s">
        <v>148</v>
      </c>
    </row>
    <row r="55" spans="1:22">
      <c r="A55" s="136">
        <f t="shared" si="0"/>
        <v>52</v>
      </c>
      <c r="B55" s="193" t="s">
        <v>28</v>
      </c>
      <c r="C55" s="188">
        <v>1</v>
      </c>
      <c r="D55" s="194"/>
      <c r="E55" s="195"/>
      <c r="F55" s="196">
        <v>-6.7924021394333701E-4</v>
      </c>
      <c r="G55" s="196">
        <v>-4.9860712199648798E-4</v>
      </c>
      <c r="H55" s="196">
        <v>-2.23007574041448E-4</v>
      </c>
      <c r="I55" s="196">
        <v>-2.23430424082259E-4</v>
      </c>
      <c r="J55" s="196">
        <v>-2.1664579381147701E-4</v>
      </c>
      <c r="K55" s="196">
        <v>1.2823161058598701E-3</v>
      </c>
      <c r="L55" s="196">
        <v>3.9816927862061901E-4</v>
      </c>
      <c r="M55" s="196">
        <v>2.3231219584463701E-4</v>
      </c>
      <c r="N55" s="196">
        <v>5.1191934241885098E-5</v>
      </c>
      <c r="O55" s="204">
        <v>-2.6614070947670102E-4</v>
      </c>
      <c r="P55" s="204">
        <v>1.1937337729725E-4</v>
      </c>
      <c r="Q55" s="204">
        <v>2.4924316547534102E-4</v>
      </c>
      <c r="R55" s="204">
        <v>2.4513917963464999E-4</v>
      </c>
      <c r="S55" s="205">
        <v>-5.7033201004711895E-4</v>
      </c>
      <c r="T55" s="197">
        <v>0</v>
      </c>
      <c r="U55" s="146">
        <v>0.1648037682536268</v>
      </c>
      <c r="V55" s="192" t="s">
        <v>178</v>
      </c>
    </row>
    <row r="56" spans="1:22">
      <c r="A56" s="136">
        <f t="shared" si="0"/>
        <v>53</v>
      </c>
      <c r="B56" s="193" t="s">
        <v>29</v>
      </c>
      <c r="C56" s="188">
        <v>1</v>
      </c>
      <c r="D56" s="194"/>
      <c r="E56" s="195"/>
      <c r="F56" s="196">
        <v>-2.5292353849772599E-6</v>
      </c>
      <c r="G56" s="196">
        <v>-1.7366734416864599E-4</v>
      </c>
      <c r="H56" s="196">
        <v>-2.1411928173635099E-3</v>
      </c>
      <c r="I56" s="196">
        <v>7.1171684229851199E-6</v>
      </c>
      <c r="J56" s="196">
        <v>-2.6548501900597201E-5</v>
      </c>
      <c r="K56" s="196">
        <v>1.35531526466981E-4</v>
      </c>
      <c r="L56" s="196">
        <v>-6.78697634012419E-6</v>
      </c>
      <c r="M56" s="196">
        <v>6.8784251581045693E-5</v>
      </c>
      <c r="N56" s="196">
        <v>-2.6748938612876901E-5</v>
      </c>
      <c r="O56" s="204">
        <v>-1.9870425878858099E-4</v>
      </c>
      <c r="P56" s="204">
        <v>1.8064302024700901E-4</v>
      </c>
      <c r="Q56" s="204">
        <v>6.75894733808075E-5</v>
      </c>
      <c r="R56" s="204">
        <v>-4.6844105172854202E-4</v>
      </c>
      <c r="S56" s="205">
        <v>3.25658128354414E-4</v>
      </c>
      <c r="T56" s="197"/>
      <c r="U56" s="146">
        <v>0.21539476637856425</v>
      </c>
      <c r="V56" s="192" t="s">
        <v>148</v>
      </c>
    </row>
    <row r="57" spans="1:22">
      <c r="A57" s="136">
        <f t="shared" si="0"/>
        <v>54</v>
      </c>
      <c r="B57" s="193" t="s">
        <v>30</v>
      </c>
      <c r="C57" s="188">
        <v>1</v>
      </c>
      <c r="D57" s="194"/>
      <c r="E57" s="195"/>
      <c r="F57" s="196">
        <v>1.84446832334082E-4</v>
      </c>
      <c r="G57" s="196">
        <v>3.2640429513636199E-4</v>
      </c>
      <c r="H57" s="196">
        <v>-3.4571509085851401E-5</v>
      </c>
      <c r="I57" s="196">
        <v>-1.5177209585767401E-4</v>
      </c>
      <c r="J57" s="196">
        <v>1.6889188473241499E-4</v>
      </c>
      <c r="K57" s="196">
        <v>-4.0578944161995099E-4</v>
      </c>
      <c r="L57" s="196">
        <v>1.38478131290604E-4</v>
      </c>
      <c r="M57" s="196">
        <v>-1.59063581781168E-4</v>
      </c>
      <c r="N57" s="196">
        <v>2.06919950419151E-4</v>
      </c>
      <c r="O57" s="204">
        <v>-2.42460194822068E-5</v>
      </c>
      <c r="P57" s="204">
        <v>-6.8998184537646495E-5</v>
      </c>
      <c r="Q57" s="204">
        <v>-1.7226936851769399E-4</v>
      </c>
      <c r="R57" s="204">
        <v>-1.8996403895173199E-4</v>
      </c>
      <c r="S57" s="205">
        <v>4.1678805245025298E-4</v>
      </c>
      <c r="T57" s="197"/>
      <c r="U57" s="146">
        <v>6.6728792705847847E-2</v>
      </c>
      <c r="V57" s="192" t="s">
        <v>147</v>
      </c>
    </row>
    <row r="58" spans="1:22">
      <c r="A58" s="136">
        <f t="shared" si="0"/>
        <v>55</v>
      </c>
      <c r="B58" s="193" t="s">
        <v>31</v>
      </c>
      <c r="C58" s="188">
        <v>1</v>
      </c>
      <c r="D58" s="194"/>
      <c r="E58" s="195"/>
      <c r="F58" s="196">
        <v>1.76952801563779E-4</v>
      </c>
      <c r="G58" s="196">
        <v>2.1473485036172299E-4</v>
      </c>
      <c r="H58" s="196">
        <v>2.98766127902419E-6</v>
      </c>
      <c r="I58" s="196">
        <v>-2.9989436175484301E-5</v>
      </c>
      <c r="J58" s="196">
        <v>-2.42342739990734E-3</v>
      </c>
      <c r="K58" s="196">
        <v>3.8476639956071598E-4</v>
      </c>
      <c r="L58" s="196">
        <v>1.0120929630009701E-4</v>
      </c>
      <c r="M58" s="196">
        <v>-1.00778849371748E-4</v>
      </c>
      <c r="N58" s="196">
        <v>1.7525166677402101E-5</v>
      </c>
      <c r="O58" s="204">
        <v>9.1187653446200496E-6</v>
      </c>
      <c r="P58" s="204">
        <v>4.9350928211811902E-6</v>
      </c>
      <c r="Q58" s="204">
        <v>-3.4409186448411101E-5</v>
      </c>
      <c r="R58" s="204">
        <v>-5.2163098263502697E-5</v>
      </c>
      <c r="S58" s="205">
        <v>2.6369702688169698E-4</v>
      </c>
      <c r="T58" s="197"/>
      <c r="U58" s="146">
        <v>0.24738803562017858</v>
      </c>
      <c r="V58" s="192" t="s">
        <v>152</v>
      </c>
    </row>
    <row r="59" spans="1:22">
      <c r="A59" s="136">
        <f t="shared" si="0"/>
        <v>56</v>
      </c>
      <c r="B59" s="222" t="s">
        <v>32</v>
      </c>
      <c r="C59" s="170">
        <v>1</v>
      </c>
      <c r="D59" s="154"/>
      <c r="E59" s="166"/>
      <c r="F59" s="152">
        <v>9.2178451982419304E-3</v>
      </c>
      <c r="G59" s="152">
        <v>1.58324694715264E-2</v>
      </c>
      <c r="H59" s="152">
        <v>-1.68482755699257E-3</v>
      </c>
      <c r="I59" s="152">
        <v>5.2601957695794198E-3</v>
      </c>
      <c r="J59" s="152">
        <v>8.1923834685651096E-3</v>
      </c>
      <c r="K59" s="152">
        <v>-1.8427188393563099E-2</v>
      </c>
      <c r="L59" s="152">
        <v>7.5993893150130996E-3</v>
      </c>
      <c r="M59" s="152">
        <v>-7.4235734212360696E-3</v>
      </c>
      <c r="N59" s="152">
        <v>1.0625938999199201E-2</v>
      </c>
      <c r="O59" s="204">
        <v>-1.1023809732507699E-3</v>
      </c>
      <c r="P59" s="204">
        <v>-3.4083799552172898E-3</v>
      </c>
      <c r="Q59" s="204">
        <v>-7.6310191218999001E-3</v>
      </c>
      <c r="R59" s="204">
        <v>-9.2248590980247291E-3</v>
      </c>
      <c r="S59" s="205">
        <v>2.0122139462482001E-2</v>
      </c>
      <c r="T59" s="197">
        <v>1</v>
      </c>
      <c r="U59" s="146">
        <v>3.1600494015139633</v>
      </c>
      <c r="V59" s="136"/>
    </row>
    <row r="60" spans="1:22">
      <c r="A60" s="136">
        <f t="shared" si="0"/>
        <v>57</v>
      </c>
      <c r="B60" s="193" t="s">
        <v>33</v>
      </c>
      <c r="C60" s="188">
        <v>1</v>
      </c>
      <c r="D60" s="194"/>
      <c r="E60" s="195"/>
      <c r="F60" s="196">
        <v>1.3739649689658099E-2</v>
      </c>
      <c r="G60" s="196">
        <v>9.8365525457826397E-3</v>
      </c>
      <c r="H60" s="196">
        <v>-9.9659844093164196E-5</v>
      </c>
      <c r="I60" s="196">
        <v>1.09762553012259E-3</v>
      </c>
      <c r="J60" s="196">
        <v>3.2903445185733901E-3</v>
      </c>
      <c r="K60" s="196">
        <v>-5.5977651522233704E-3</v>
      </c>
      <c r="L60" s="196">
        <v>-1.30047992257607E-3</v>
      </c>
      <c r="M60" s="196">
        <v>-4.6350830106866902E-3</v>
      </c>
      <c r="N60" s="196">
        <v>-4.7440933654791998E-4</v>
      </c>
      <c r="O60" s="204">
        <v>-3.4191835637152802E-4</v>
      </c>
      <c r="P60" s="204">
        <v>-8.3691725050521798E-4</v>
      </c>
      <c r="Q60" s="204">
        <v>-3.3813728773833102E-3</v>
      </c>
      <c r="R60" s="204">
        <v>-3.8557565743986698E-3</v>
      </c>
      <c r="S60" s="205">
        <v>1.2073265560207999E-2</v>
      </c>
      <c r="T60" s="197">
        <v>0</v>
      </c>
      <c r="U60" s="146">
        <v>1.8769978742217648</v>
      </c>
      <c r="V60" s="192" t="s">
        <v>172</v>
      </c>
    </row>
    <row r="61" spans="1:22">
      <c r="A61" s="136">
        <f t="shared" si="0"/>
        <v>58</v>
      </c>
      <c r="B61" s="220" t="s">
        <v>34</v>
      </c>
      <c r="C61" s="188">
        <v>1</v>
      </c>
      <c r="D61" s="194"/>
      <c r="E61" s="195"/>
      <c r="F61" s="196">
        <v>3.4097933680263197E-2</v>
      </c>
      <c r="G61" s="196">
        <v>2.67422080966815E-2</v>
      </c>
      <c r="H61" s="196">
        <v>-3.2009589539088099E-3</v>
      </c>
      <c r="I61" s="196">
        <v>8.3439371032102503E-3</v>
      </c>
      <c r="J61" s="196">
        <v>1.05728156531302E-2</v>
      </c>
      <c r="K61" s="196">
        <v>-6.3970969952168499E-2</v>
      </c>
      <c r="L61" s="196">
        <v>-1.7723652898312701E-2</v>
      </c>
      <c r="M61" s="196">
        <v>-1.24256435626538E-2</v>
      </c>
      <c r="N61" s="196">
        <v>-2.6372301258845003E-4</v>
      </c>
      <c r="O61" s="204">
        <v>-9.2382282394449199E-4</v>
      </c>
      <c r="P61" s="204">
        <v>-5.7782487739320501E-3</v>
      </c>
      <c r="Q61" s="204">
        <v>-1.3610397294275999E-2</v>
      </c>
      <c r="R61" s="204">
        <v>-1.57227245183264E-2</v>
      </c>
      <c r="S61" s="205">
        <v>3.3381815177643499E-2</v>
      </c>
      <c r="T61" s="197">
        <v>0</v>
      </c>
      <c r="U61" s="146">
        <v>8.1426934530574453</v>
      </c>
      <c r="V61" s="192" t="s">
        <v>165</v>
      </c>
    </row>
    <row r="62" spans="1:22">
      <c r="A62" s="136">
        <f t="shared" si="0"/>
        <v>59</v>
      </c>
      <c r="B62" s="220" t="s">
        <v>35</v>
      </c>
      <c r="C62" s="188">
        <v>1</v>
      </c>
      <c r="D62" s="194"/>
      <c r="E62" s="195"/>
      <c r="F62" s="196">
        <v>7.9446187379059202E-2</v>
      </c>
      <c r="G62" s="196">
        <v>6.2022796188251898E-2</v>
      </c>
      <c r="H62" s="196">
        <v>-3.3708288380590399E-3</v>
      </c>
      <c r="I62" s="196">
        <v>5.2344036378585103E-3</v>
      </c>
      <c r="J62" s="196">
        <v>2.63715118879265E-2</v>
      </c>
      <c r="K62" s="196">
        <v>-2.8030335086714601E-2</v>
      </c>
      <c r="L62" s="196">
        <v>-6.47054845198595E-3</v>
      </c>
      <c r="M62" s="196">
        <v>-2.80662068263078E-2</v>
      </c>
      <c r="N62" s="196">
        <v>7.8002364667665105E-4</v>
      </c>
      <c r="O62" s="204">
        <v>1.01126400790801E-3</v>
      </c>
      <c r="P62" s="204">
        <v>-6.7378915402545696E-3</v>
      </c>
      <c r="Q62" s="204">
        <v>-2.2203533019077602E-2</v>
      </c>
      <c r="R62" s="204">
        <v>-2.44630555198826E-2</v>
      </c>
      <c r="S62" s="205">
        <v>7.6643346102392998E-2</v>
      </c>
      <c r="T62" s="197">
        <v>0</v>
      </c>
      <c r="U62" s="146">
        <v>11.184198732444827</v>
      </c>
      <c r="V62" s="192" t="s">
        <v>173</v>
      </c>
    </row>
    <row r="63" spans="1:22">
      <c r="A63" s="136">
        <f t="shared" si="0"/>
        <v>60</v>
      </c>
      <c r="B63" s="220" t="s">
        <v>36</v>
      </c>
      <c r="C63" s="188">
        <v>1</v>
      </c>
      <c r="D63" s="194"/>
      <c r="E63" s="195"/>
      <c r="F63" s="196">
        <v>-4.9029696314707304E-4</v>
      </c>
      <c r="G63" s="196">
        <v>2.2864776479266199E-4</v>
      </c>
      <c r="H63" s="196">
        <v>-2.5971312689803099E-4</v>
      </c>
      <c r="I63" s="196">
        <v>8.4797716082403898E-5</v>
      </c>
      <c r="J63" s="196">
        <v>1.03105030966155E-4</v>
      </c>
      <c r="K63" s="196">
        <v>-7.8178878534320003E-4</v>
      </c>
      <c r="L63" s="196">
        <v>1.62649292642274E-4</v>
      </c>
      <c r="M63" s="196">
        <v>-7.1777027911855602E-4</v>
      </c>
      <c r="N63" s="196">
        <v>1.7432928958047299E-4</v>
      </c>
      <c r="O63" s="204">
        <v>-1.0256136929076901E-3</v>
      </c>
      <c r="P63" s="204">
        <v>1.69823062023967E-3</v>
      </c>
      <c r="Q63" s="204">
        <v>-7.1667185411219904E-4</v>
      </c>
      <c r="R63" s="204">
        <v>-7.1173193260582401E-4</v>
      </c>
      <c r="S63" s="205">
        <v>8.6845187108032604E-4</v>
      </c>
      <c r="T63" s="197">
        <v>0</v>
      </c>
      <c r="U63" s="221">
        <v>0.1249470484981294</v>
      </c>
      <c r="V63" s="192" t="s">
        <v>153</v>
      </c>
    </row>
    <row r="64" spans="1:22">
      <c r="A64" s="136">
        <f t="shared" si="0"/>
        <v>61</v>
      </c>
      <c r="B64" s="135" t="s">
        <v>37</v>
      </c>
      <c r="C64" s="170">
        <v>1</v>
      </c>
      <c r="D64" s="154"/>
      <c r="E64" s="166"/>
      <c r="F64" s="152">
        <v>5.8168479488322503E-2</v>
      </c>
      <c r="G64" s="152">
        <v>4.7031142716479402E-2</v>
      </c>
      <c r="H64" s="152">
        <v>6.1411377590342301E-3</v>
      </c>
      <c r="I64" s="152">
        <v>-3.5408217056847602E-3</v>
      </c>
      <c r="J64" s="152">
        <v>1.78641362883207E-2</v>
      </c>
      <c r="K64" s="152">
        <v>-1.9922687091879E-3</v>
      </c>
      <c r="L64" s="152">
        <v>5.4186266541468697E-3</v>
      </c>
      <c r="M64" s="152">
        <v>-2.1522608854384999E-2</v>
      </c>
      <c r="N64" s="152">
        <v>5.2374882992609704E-3</v>
      </c>
      <c r="O64" s="204">
        <v>7.1633203389749002E-3</v>
      </c>
      <c r="P64" s="204">
        <v>1.1679316178640301E-2</v>
      </c>
      <c r="Q64" s="204">
        <v>-1.8464326946258401E-2</v>
      </c>
      <c r="R64" s="204">
        <v>1.1563504670171699E-3</v>
      </c>
      <c r="S64" s="205">
        <v>5.5921977566457802E-2</v>
      </c>
      <c r="T64" s="197">
        <v>1</v>
      </c>
      <c r="U64" s="146">
        <v>8.0553481444728483</v>
      </c>
      <c r="V64" s="136"/>
    </row>
    <row r="65" spans="1:42">
      <c r="A65" s="136">
        <f t="shared" si="0"/>
        <v>62</v>
      </c>
      <c r="B65" s="135" t="s">
        <v>38</v>
      </c>
      <c r="C65" s="170">
        <v>1</v>
      </c>
      <c r="D65" s="154"/>
      <c r="E65" s="166"/>
      <c r="F65" s="152">
        <v>9.88181632449078E-4</v>
      </c>
      <c r="G65" s="152">
        <v>1.7466199550734899E-3</v>
      </c>
      <c r="H65" s="152">
        <v>-2.1159043986803501E-4</v>
      </c>
      <c r="I65" s="152">
        <v>2.5561584128398099E-3</v>
      </c>
      <c r="J65" s="152">
        <v>9.1968017904710405E-4</v>
      </c>
      <c r="K65" s="152">
        <v>-1.82175841912449E-3</v>
      </c>
      <c r="L65" s="152">
        <v>1.0818678425678599E-3</v>
      </c>
      <c r="M65" s="152">
        <v>-8.30867462006621E-4</v>
      </c>
      <c r="N65" s="152">
        <v>1.32430305563579E-3</v>
      </c>
      <c r="O65" s="204">
        <v>-1.43850290513967E-4</v>
      </c>
      <c r="P65" s="204">
        <v>-4.1678255599258502E-4</v>
      </c>
      <c r="Q65" s="204">
        <v>-7.9040582507308005E-4</v>
      </c>
      <c r="R65" s="204">
        <v>-1.0937821313047799E-3</v>
      </c>
      <c r="S65" s="205">
        <v>2.2481734157162301E-3</v>
      </c>
      <c r="T65" s="197">
        <v>1</v>
      </c>
      <c r="U65" s="146">
        <v>0.42877818592716505</v>
      </c>
      <c r="V65" s="136"/>
      <c r="W65" s="136"/>
      <c r="X65" s="136"/>
      <c r="Y65" s="136"/>
      <c r="Z65" s="136"/>
      <c r="AA65" s="136"/>
      <c r="AB65" s="136"/>
      <c r="AC65" s="136"/>
      <c r="AD65" s="136"/>
    </row>
    <row r="66" spans="1:42">
      <c r="A66" s="136">
        <f t="shared" si="0"/>
        <v>63</v>
      </c>
      <c r="B66" s="220" t="s">
        <v>39</v>
      </c>
      <c r="C66" s="188">
        <v>1</v>
      </c>
      <c r="D66" s="194"/>
      <c r="E66" s="195"/>
      <c r="F66" s="196">
        <v>1.1764691555529399E-2</v>
      </c>
      <c r="G66" s="196">
        <v>3.7426350034770002E-3</v>
      </c>
      <c r="H66" s="196">
        <v>3.2712756961544198E-3</v>
      </c>
      <c r="I66" s="196">
        <v>1.4735580160546199E-3</v>
      </c>
      <c r="J66" s="196">
        <v>1.8626529116485E-3</v>
      </c>
      <c r="K66" s="196">
        <v>6.00265999630889E-3</v>
      </c>
      <c r="L66" s="196">
        <v>2.1309915010386399E-3</v>
      </c>
      <c r="M66" s="196">
        <v>8.1614333315255406E-3</v>
      </c>
      <c r="N66" s="196">
        <v>2.63730699065063E-3</v>
      </c>
      <c r="O66" s="204">
        <v>3.2819072668218599E-3</v>
      </c>
      <c r="P66" s="204">
        <v>6.0424159123035797E-3</v>
      </c>
      <c r="Q66" s="204">
        <v>8.1738575535649297E-3</v>
      </c>
      <c r="R66" s="204">
        <v>8.3875797609369307E-3</v>
      </c>
      <c r="S66" s="205">
        <v>3.1962507373733402E-3</v>
      </c>
      <c r="T66" s="197">
        <v>0</v>
      </c>
      <c r="U66" s="146">
        <v>1.6819477160091949</v>
      </c>
      <c r="V66" s="192" t="s">
        <v>198</v>
      </c>
      <c r="W66" s="231">
        <v>-1</v>
      </c>
      <c r="X66" s="231">
        <v>-1</v>
      </c>
      <c r="Y66" s="231">
        <v>-1</v>
      </c>
      <c r="Z66" s="231">
        <v>-1</v>
      </c>
      <c r="AA66" s="231">
        <v>-1</v>
      </c>
      <c r="AB66" s="231">
        <v>-1</v>
      </c>
      <c r="AC66" s="231">
        <v>-1</v>
      </c>
      <c r="AD66" s="231">
        <v>-1</v>
      </c>
    </row>
    <row r="67" spans="1:42">
      <c r="A67" s="136">
        <f t="shared" si="0"/>
        <v>64</v>
      </c>
      <c r="B67" s="220" t="s">
        <v>40</v>
      </c>
      <c r="C67" s="188">
        <v>1</v>
      </c>
      <c r="D67" s="194"/>
      <c r="E67" s="195"/>
      <c r="F67" s="196">
        <v>1.50858586421584E-2</v>
      </c>
      <c r="G67" s="196">
        <v>4.7916565472588702E-3</v>
      </c>
      <c r="H67" s="196">
        <v>4.1701349323865497E-3</v>
      </c>
      <c r="I67" s="196">
        <v>1.8858063100936899E-3</v>
      </c>
      <c r="J67" s="196">
        <v>2.3846064773168502E-3</v>
      </c>
      <c r="K67" s="196">
        <v>7.6938966351592399E-3</v>
      </c>
      <c r="L67" s="196">
        <v>2.7283644887299199E-3</v>
      </c>
      <c r="M67" s="196">
        <v>1.0462316150939101E-2</v>
      </c>
      <c r="N67" s="196">
        <v>3.3767460408111898E-3</v>
      </c>
      <c r="O67" s="204">
        <v>4.2000750424906102E-3</v>
      </c>
      <c r="P67" s="204">
        <v>7.8134624303954001E-3</v>
      </c>
      <c r="Q67" s="204">
        <v>1.0477932427954599E-2</v>
      </c>
      <c r="R67" s="204">
        <v>1.07499793948916E-2</v>
      </c>
      <c r="S67" s="205">
        <v>4.1108110889355497E-3</v>
      </c>
      <c r="T67" s="197">
        <v>0</v>
      </c>
      <c r="U67" s="146">
        <v>2.155639658118786</v>
      </c>
      <c r="V67" s="192" t="s">
        <v>198</v>
      </c>
      <c r="W67" s="231">
        <v>-1.2822995461422066</v>
      </c>
      <c r="X67" s="231">
        <v>-1.2802895667911254</v>
      </c>
      <c r="Y67" s="231">
        <v>-1.2747733054993784</v>
      </c>
      <c r="Z67" s="231">
        <v>-1.2797638705416192</v>
      </c>
      <c r="AA67" s="231">
        <v>-1.2802205190264926</v>
      </c>
      <c r="AB67" s="231">
        <v>-1.2817478650948599</v>
      </c>
      <c r="AC67" s="231">
        <v>-1.2803263116723469</v>
      </c>
      <c r="AD67" s="231">
        <v>-1.2819214133044297</v>
      </c>
      <c r="AE67" s="90">
        <f t="shared" ref="AE67" si="1">N67/N66</f>
        <v>1.28037655562356</v>
      </c>
      <c r="AF67" s="90">
        <f t="shared" ref="AF67" si="2">O67/O66</f>
        <v>1.279766520203323</v>
      </c>
      <c r="AG67" s="90">
        <f t="shared" ref="AG67" si="3">P67/P66</f>
        <v>1.2931023855020658</v>
      </c>
      <c r="AH67" s="90">
        <f t="shared" ref="AH67:AI67" si="4">Q67/Q66</f>
        <v>1.2818834142007742</v>
      </c>
      <c r="AI67" s="90">
        <f t="shared" si="4"/>
        <v>1.2816545059824003</v>
      </c>
      <c r="AJ67" s="90">
        <f t="shared" ref="AJ67" si="5">S67/S66</f>
        <v>1.2861353588028546</v>
      </c>
      <c r="AK67" s="90" t="e">
        <f t="shared" ref="AK67" si="6">T67/T66</f>
        <v>#DIV/0!</v>
      </c>
      <c r="AL67" s="90">
        <f t="shared" ref="AL67:AM67" si="7">U67/U66</f>
        <v>1.2816329768166239</v>
      </c>
      <c r="AM67" s="90" t="e">
        <f t="shared" si="7"/>
        <v>#VALUE!</v>
      </c>
      <c r="AN67" s="90">
        <f t="shared" ref="AN67" si="8">W67/W66</f>
        <v>1.2822995461422066</v>
      </c>
      <c r="AO67" s="90">
        <f t="shared" ref="AO67" si="9">X67/X66</f>
        <v>1.2802895667911254</v>
      </c>
      <c r="AP67" s="90">
        <f t="shared" ref="AP67" si="10">Y67/Y66</f>
        <v>1.2747733054993784</v>
      </c>
    </row>
    <row r="68" spans="1:42">
      <c r="A68" s="136">
        <f t="shared" si="0"/>
        <v>65</v>
      </c>
      <c r="B68" s="220" t="s">
        <v>41</v>
      </c>
      <c r="C68" s="188">
        <v>1</v>
      </c>
      <c r="D68" s="194"/>
      <c r="E68" s="195"/>
      <c r="F68" s="196">
        <v>7.1189545302493204E-3</v>
      </c>
      <c r="G68" s="196">
        <v>9.9472456456849295E-3</v>
      </c>
      <c r="H68" s="196">
        <v>5.0588574607077098E-3</v>
      </c>
      <c r="I68" s="196">
        <v>5.1514916672556997E-3</v>
      </c>
      <c r="J68" s="196">
        <v>4.9243296732856198E-3</v>
      </c>
      <c r="K68" s="196">
        <v>-1.13703346626754E-4</v>
      </c>
      <c r="L68" s="196">
        <v>9.9881668472161095E-3</v>
      </c>
      <c r="M68" s="196">
        <v>1.17892238887705E-4</v>
      </c>
      <c r="N68" s="196">
        <v>9.4472178106116706E-3</v>
      </c>
      <c r="O68" s="204">
        <v>1.8230461878895399E-4</v>
      </c>
      <c r="P68" s="204">
        <v>7.3877408383493496E-4</v>
      </c>
      <c r="Q68" s="204">
        <v>2.7985393523788902E-4</v>
      </c>
      <c r="R68" s="204">
        <v>4.72959115357665E-4</v>
      </c>
      <c r="S68" s="205">
        <v>1.08345870491876E-2</v>
      </c>
      <c r="T68" s="197">
        <v>0</v>
      </c>
      <c r="U68" s="146">
        <v>2.0372686760368861</v>
      </c>
      <c r="V68" s="192" t="s">
        <v>199</v>
      </c>
      <c r="W68" s="231">
        <v>1</v>
      </c>
      <c r="X68" s="231">
        <v>1</v>
      </c>
      <c r="Y68" s="231">
        <v>1</v>
      </c>
      <c r="Z68" s="231">
        <v>1</v>
      </c>
      <c r="AA68" s="231">
        <v>1</v>
      </c>
      <c r="AB68" s="231">
        <v>1.0000000000000007</v>
      </c>
      <c r="AC68" s="231">
        <v>1</v>
      </c>
      <c r="AD68" s="231">
        <v>0.99999999999999767</v>
      </c>
    </row>
    <row r="69" spans="1:42">
      <c r="A69" s="136">
        <f t="shared" si="0"/>
        <v>66</v>
      </c>
      <c r="B69" s="135" t="s">
        <v>42</v>
      </c>
      <c r="C69" s="170">
        <v>1</v>
      </c>
      <c r="D69" s="154"/>
      <c r="E69" s="166"/>
      <c r="F69" s="152">
        <v>9.4202777044247402E-3</v>
      </c>
      <c r="G69" s="152">
        <v>-5.5120770199416002E-4</v>
      </c>
      <c r="H69" s="152">
        <v>1.6688222287120801E-4</v>
      </c>
      <c r="I69" s="152">
        <v>-3.64982996050519E-6</v>
      </c>
      <c r="J69" s="152">
        <v>-1.63632275865316E-4</v>
      </c>
      <c r="K69" s="152">
        <v>1.0393344695318401E-2</v>
      </c>
      <c r="L69" s="152">
        <v>-8.4301390329963695E-5</v>
      </c>
      <c r="M69" s="152">
        <v>1.01161627117926E-2</v>
      </c>
      <c r="N69" s="152">
        <v>-1.9323802204819599E-4</v>
      </c>
      <c r="O69" s="204">
        <v>1.02262358613189E-2</v>
      </c>
      <c r="P69" s="204">
        <v>8.5426456734646397E-3</v>
      </c>
      <c r="Q69" s="204">
        <v>1.01333936909192E-2</v>
      </c>
      <c r="R69" s="204">
        <v>1.00380420957572E-2</v>
      </c>
      <c r="S69" s="205">
        <v>-1.1003530695747E-3</v>
      </c>
      <c r="T69" s="197">
        <v>1</v>
      </c>
      <c r="U69" s="146">
        <v>1.7306152377210726</v>
      </c>
      <c r="V69" s="136"/>
      <c r="W69" s="136"/>
      <c r="X69" s="136"/>
      <c r="Y69" s="136"/>
      <c r="Z69" s="136"/>
      <c r="AA69" s="136"/>
      <c r="AB69" s="136"/>
      <c r="AC69" s="136"/>
      <c r="AD69" s="136"/>
    </row>
    <row r="70" spans="1:42">
      <c r="A70" s="136">
        <f t="shared" ref="A70:A97" si="11">A69+1</f>
        <v>67</v>
      </c>
      <c r="B70" s="220" t="s">
        <v>43</v>
      </c>
      <c r="C70" s="188">
        <v>1</v>
      </c>
      <c r="D70" s="194"/>
      <c r="E70" s="195"/>
      <c r="F70" s="196">
        <v>5.4514390084722799E-3</v>
      </c>
      <c r="G70" s="196">
        <v>6.5956367635827198E-3</v>
      </c>
      <c r="H70" s="196">
        <v>-5.5485138039020699E-5</v>
      </c>
      <c r="I70" s="196">
        <v>-9.2279867501439503E-4</v>
      </c>
      <c r="J70" s="196">
        <v>-6.3212149997031999E-3</v>
      </c>
      <c r="K70" s="196">
        <v>1.03697273204093E-2</v>
      </c>
      <c r="L70" s="196">
        <v>3.04044633061528E-3</v>
      </c>
      <c r="M70" s="196">
        <v>-3.1186878874901198E-3</v>
      </c>
      <c r="N70" s="196">
        <v>-2.0245410750705799E-3</v>
      </c>
      <c r="O70" s="204">
        <v>2.5186171258047399E-4</v>
      </c>
      <c r="P70" s="204">
        <v>-1.6257871822230799E-4</v>
      </c>
      <c r="Q70" s="204">
        <v>-1.40887743604192E-3</v>
      </c>
      <c r="R70" s="204">
        <v>-1.90532219680849E-3</v>
      </c>
      <c r="S70" s="205">
        <v>8.1313075314262302E-3</v>
      </c>
      <c r="T70" s="197">
        <v>0</v>
      </c>
      <c r="U70" s="146">
        <v>1.564076551646568</v>
      </c>
      <c r="V70" s="192" t="s">
        <v>179</v>
      </c>
      <c r="W70" s="136"/>
      <c r="X70" s="136"/>
      <c r="Y70" s="136"/>
      <c r="Z70" s="136"/>
      <c r="AA70" s="136"/>
      <c r="AB70" s="136"/>
      <c r="AC70" s="136"/>
      <c r="AD70" s="136"/>
    </row>
    <row r="71" spans="1:42">
      <c r="A71" s="136">
        <f t="shared" si="11"/>
        <v>68</v>
      </c>
      <c r="B71" s="220" t="s">
        <v>44</v>
      </c>
      <c r="C71" s="188">
        <v>1</v>
      </c>
      <c r="D71" s="194"/>
      <c r="E71" s="195"/>
      <c r="F71" s="196">
        <v>2.2081161664697698E-3</v>
      </c>
      <c r="G71" s="196">
        <v>3.3007779271856598E-3</v>
      </c>
      <c r="H71" s="196">
        <v>-2.2012661495096099E-4</v>
      </c>
      <c r="I71" s="196">
        <v>-6.6621562879087999E-4</v>
      </c>
      <c r="J71" s="196">
        <v>1.2093760960127399E-3</v>
      </c>
      <c r="K71" s="196">
        <v>-7.0220538867981604E-3</v>
      </c>
      <c r="L71" s="196">
        <v>-2.15051894173654E-3</v>
      </c>
      <c r="M71" s="196">
        <v>-1.5612040947794001E-3</v>
      </c>
      <c r="N71" s="196">
        <v>-3.1791267270936402E-4</v>
      </c>
      <c r="O71" s="204">
        <v>3.6687125688820201E-5</v>
      </c>
      <c r="P71" s="204">
        <v>-3.73763444985307E-4</v>
      </c>
      <c r="Q71" s="204">
        <v>-2.2934616512968499E-3</v>
      </c>
      <c r="R71" s="204">
        <v>-1.3837596696829901E-3</v>
      </c>
      <c r="S71" s="205">
        <v>4.0667860957838897E-3</v>
      </c>
      <c r="T71" s="197">
        <v>0</v>
      </c>
      <c r="U71" s="146">
        <v>0.86138377429792123</v>
      </c>
      <c r="V71" s="192" t="s">
        <v>181</v>
      </c>
      <c r="W71" s="136"/>
      <c r="X71" s="136"/>
      <c r="Y71" s="136"/>
      <c r="Z71" s="136"/>
      <c r="AA71" s="136"/>
      <c r="AB71" s="136"/>
      <c r="AC71" s="136"/>
      <c r="AD71" s="136"/>
    </row>
    <row r="72" spans="1:42">
      <c r="A72" s="136">
        <f t="shared" si="11"/>
        <v>69</v>
      </c>
      <c r="B72" s="220" t="s">
        <v>45</v>
      </c>
      <c r="C72" s="188">
        <v>1</v>
      </c>
      <c r="D72" s="194"/>
      <c r="E72" s="195"/>
      <c r="F72" s="196">
        <v>1.4819445848274099E-4</v>
      </c>
      <c r="G72" s="196">
        <v>1.59266257301534E-4</v>
      </c>
      <c r="H72" s="196">
        <v>-1.68055946945111E-3</v>
      </c>
      <c r="I72" s="196">
        <v>-5.0063500958262799E-5</v>
      </c>
      <c r="J72" s="196">
        <v>3.5398002534129599E-5</v>
      </c>
      <c r="K72" s="196">
        <v>-3.52024129800376E-4</v>
      </c>
      <c r="L72" s="196">
        <v>-1.4883720044132001E-4</v>
      </c>
      <c r="M72" s="196">
        <v>-7.7134262890763897E-5</v>
      </c>
      <c r="N72" s="196">
        <v>-5.5112037314461901E-5</v>
      </c>
      <c r="O72" s="204">
        <v>-1.64731556272113E-3</v>
      </c>
      <c r="P72" s="204">
        <v>8.9734885882496499E-4</v>
      </c>
      <c r="Q72" s="204">
        <v>-8.5352657294110706E-5</v>
      </c>
      <c r="R72" s="204">
        <v>-3.84719963570716E-5</v>
      </c>
      <c r="S72" s="205">
        <v>3.1556680276368198E-3</v>
      </c>
      <c r="T72" s="197">
        <v>0</v>
      </c>
      <c r="U72" s="146">
        <v>0.17408122738189796</v>
      </c>
      <c r="V72" s="192" t="s">
        <v>180</v>
      </c>
      <c r="W72" s="136"/>
      <c r="X72" s="136"/>
      <c r="Y72" s="136"/>
      <c r="Z72" s="136"/>
      <c r="AA72" s="136"/>
      <c r="AB72" s="136"/>
      <c r="AC72" s="136"/>
      <c r="AD72" s="136"/>
    </row>
    <row r="73" spans="1:42" s="136" customFormat="1">
      <c r="A73" s="136">
        <f t="shared" si="11"/>
        <v>70</v>
      </c>
      <c r="B73" s="220" t="s">
        <v>46</v>
      </c>
      <c r="C73" s="188"/>
      <c r="D73" s="194"/>
      <c r="E73" s="195"/>
      <c r="F73" s="196">
        <v>-2.5064722665124601E-3</v>
      </c>
      <c r="G73" s="196">
        <v>-5.5937238598915799E-3</v>
      </c>
      <c r="H73" s="196">
        <v>6.2388769637337395E-4</v>
      </c>
      <c r="I73" s="196">
        <v>7.7066159616067005E-4</v>
      </c>
      <c r="J73" s="196">
        <v>3.9968853097204103E-3</v>
      </c>
      <c r="K73" s="196">
        <v>-5.4988226649147999E-3</v>
      </c>
      <c r="L73" s="196">
        <v>-1.34209480381947E-3</v>
      </c>
      <c r="M73" s="196">
        <v>2.6596852855935299E-3</v>
      </c>
      <c r="N73" s="196">
        <v>1.42407352207117E-3</v>
      </c>
      <c r="O73" s="204">
        <v>-1.6861233315133501E-3</v>
      </c>
      <c r="P73" s="204">
        <v>-2.4908251503131498E-4</v>
      </c>
      <c r="Q73" s="204">
        <v>1.66281276330568E-3</v>
      </c>
      <c r="R73" s="204">
        <v>1.30982771938827E-3</v>
      </c>
      <c r="S73" s="205">
        <v>-6.9371975319914899E-3</v>
      </c>
      <c r="T73" s="197"/>
      <c r="U73" s="146"/>
      <c r="V73" s="192"/>
    </row>
    <row r="74" spans="1:42" s="136" customFormat="1">
      <c r="A74" s="136">
        <f t="shared" si="11"/>
        <v>71</v>
      </c>
      <c r="B74" s="220" t="s">
        <v>47</v>
      </c>
      <c r="C74" s="188"/>
      <c r="D74" s="194"/>
      <c r="E74" s="195"/>
      <c r="F74" s="196">
        <v>-3.6711383236021701E-4</v>
      </c>
      <c r="G74" s="196">
        <v>-3.3159112727070301E-3</v>
      </c>
      <c r="H74" s="196">
        <v>6.9196369265971103E-4</v>
      </c>
      <c r="I74" s="196">
        <v>5.1146283846546E-4</v>
      </c>
      <c r="J74" s="196">
        <v>-4.67186844766484E-4</v>
      </c>
      <c r="K74" s="196">
        <v>4.3522170050287997E-3</v>
      </c>
      <c r="L74" s="196">
        <v>1.3685878254980201E-3</v>
      </c>
      <c r="M74" s="196">
        <v>1.53764218167772E-3</v>
      </c>
      <c r="N74" s="196">
        <v>4.1499287233023597E-4</v>
      </c>
      <c r="O74" s="204">
        <v>-1.55103836582676E-3</v>
      </c>
      <c r="P74" s="204">
        <v>-2.02245690709538E-4</v>
      </c>
      <c r="Q74" s="204">
        <v>1.8901591737684E-3</v>
      </c>
      <c r="R74" s="204">
        <v>8.3769007014499104E-4</v>
      </c>
      <c r="S74" s="205">
        <v>-4.1431504357568403E-3</v>
      </c>
      <c r="T74" s="197"/>
      <c r="U74" s="146"/>
      <c r="V74" s="192"/>
    </row>
    <row r="75" spans="1:42" s="136" customFormat="1">
      <c r="A75" s="136">
        <f t="shared" si="11"/>
        <v>72</v>
      </c>
      <c r="B75" s="220" t="s">
        <v>48</v>
      </c>
      <c r="C75" s="188"/>
      <c r="D75" s="194"/>
      <c r="E75" s="195"/>
      <c r="F75" s="196">
        <v>6.66031984710678E-4</v>
      </c>
      <c r="G75" s="196">
        <v>-1.83876250240119E-3</v>
      </c>
      <c r="H75" s="196">
        <v>6.2879599704605599E-4</v>
      </c>
      <c r="I75" s="196">
        <v>2.07614494253403E-4</v>
      </c>
      <c r="J75" s="196">
        <v>8.8912435610490704E-5</v>
      </c>
      <c r="K75" s="196">
        <v>1.1653027483556999E-3</v>
      </c>
      <c r="L75" s="196">
        <v>3.9483532533073399E-4</v>
      </c>
      <c r="M75" s="196">
        <v>8.6906256324513498E-4</v>
      </c>
      <c r="N75" s="196">
        <v>2.7924969534649899E-4</v>
      </c>
      <c r="O75" s="204">
        <v>-1.5675793820332799E-3</v>
      </c>
      <c r="P75" s="204">
        <v>-3.5681652246728898E-4</v>
      </c>
      <c r="Q75" s="204">
        <v>8.7196006568132699E-4</v>
      </c>
      <c r="R75" s="204">
        <v>2.5910410357921001E-4</v>
      </c>
      <c r="S75" s="205">
        <v>-2.3419303455762602E-3</v>
      </c>
      <c r="T75" s="197"/>
      <c r="U75" s="146"/>
      <c r="V75" s="192"/>
    </row>
    <row r="76" spans="1:42">
      <c r="A76" s="136">
        <f t="shared" si="11"/>
        <v>73</v>
      </c>
      <c r="B76" s="222" t="s">
        <v>46</v>
      </c>
      <c r="C76" s="170">
        <v>1</v>
      </c>
      <c r="D76" s="154"/>
      <c r="E76" s="166"/>
      <c r="F76" s="152">
        <v>-5.0129445330249203E-3</v>
      </c>
      <c r="G76" s="152">
        <v>-1.118744771978316E-2</v>
      </c>
      <c r="H76" s="152">
        <v>1.2477753927467479E-3</v>
      </c>
      <c r="I76" s="152">
        <v>1.5413231923213401E-3</v>
      </c>
      <c r="J76" s="152">
        <v>7.9937706194408206E-3</v>
      </c>
      <c r="K76" s="152">
        <v>-1.09976453298296E-2</v>
      </c>
      <c r="L76" s="152">
        <v>-2.6841896076389401E-3</v>
      </c>
      <c r="M76" s="152">
        <v>5.3193705711870598E-3</v>
      </c>
      <c r="N76" s="152">
        <v>2.84814704414234E-3</v>
      </c>
      <c r="O76" s="204">
        <v>-3.3722466630267001E-3</v>
      </c>
      <c r="P76" s="204">
        <v>-4.9816503006262997E-4</v>
      </c>
      <c r="Q76" s="204">
        <v>3.32562552661136E-3</v>
      </c>
      <c r="R76" s="204">
        <v>2.6196554387765401E-3</v>
      </c>
      <c r="S76" s="205">
        <v>-1.387439506398298E-2</v>
      </c>
      <c r="T76" s="197">
        <v>1</v>
      </c>
      <c r="U76" s="146">
        <v>0.9781133756029774</v>
      </c>
      <c r="V76" s="136"/>
      <c r="W76" s="136"/>
      <c r="X76" s="136"/>
      <c r="Y76" s="136"/>
      <c r="Z76" s="136"/>
      <c r="AA76" s="136"/>
      <c r="AB76" s="136"/>
      <c r="AC76" s="136"/>
      <c r="AD76" s="136"/>
    </row>
    <row r="77" spans="1:42">
      <c r="A77" s="136">
        <f t="shared" si="11"/>
        <v>74</v>
      </c>
      <c r="B77" s="222" t="s">
        <v>47</v>
      </c>
      <c r="C77" s="170">
        <v>1</v>
      </c>
      <c r="D77" s="154"/>
      <c r="E77" s="166"/>
      <c r="F77" s="152">
        <v>-7.3422766472043403E-4</v>
      </c>
      <c r="G77" s="152">
        <v>-6.6318225454140602E-3</v>
      </c>
      <c r="H77" s="152">
        <v>1.3839273853194221E-3</v>
      </c>
      <c r="I77" s="152">
        <v>1.02292567693092E-3</v>
      </c>
      <c r="J77" s="152">
        <v>-9.34373689532968E-4</v>
      </c>
      <c r="K77" s="152">
        <v>8.7044340100575993E-3</v>
      </c>
      <c r="L77" s="152">
        <v>2.7371756509960402E-3</v>
      </c>
      <c r="M77" s="152">
        <v>3.0752843633554401E-3</v>
      </c>
      <c r="N77" s="152">
        <v>8.2998574466047195E-4</v>
      </c>
      <c r="O77" s="204">
        <v>-3.1020767316535199E-3</v>
      </c>
      <c r="P77" s="204">
        <v>-4.04491381419076E-4</v>
      </c>
      <c r="Q77" s="204">
        <v>3.7803183475368001E-3</v>
      </c>
      <c r="R77" s="204">
        <v>1.6753801402899821E-3</v>
      </c>
      <c r="S77" s="205">
        <v>-8.2863008715136806E-3</v>
      </c>
      <c r="T77" s="197">
        <v>1</v>
      </c>
      <c r="U77" s="146">
        <v>0.59531588024604043</v>
      </c>
      <c r="V77" s="136"/>
      <c r="W77" s="136"/>
      <c r="X77" s="136"/>
      <c r="Y77" s="136"/>
      <c r="Z77" s="136"/>
      <c r="AA77" s="136"/>
      <c r="AB77" s="136"/>
      <c r="AC77" s="136"/>
      <c r="AD77" s="136"/>
    </row>
    <row r="78" spans="1:42" ht="15.75" thickBot="1">
      <c r="A78" s="136">
        <f t="shared" si="11"/>
        <v>75</v>
      </c>
      <c r="B78" s="134" t="s">
        <v>48</v>
      </c>
      <c r="C78" s="185">
        <v>1</v>
      </c>
      <c r="D78" s="177"/>
      <c r="E78" s="186"/>
      <c r="F78" s="152">
        <v>1.332063969421356E-3</v>
      </c>
      <c r="G78" s="152">
        <v>-3.6775250048023799E-3</v>
      </c>
      <c r="H78" s="152">
        <v>1.257591994092112E-3</v>
      </c>
      <c r="I78" s="152">
        <v>4.1522898850680599E-4</v>
      </c>
      <c r="J78" s="152">
        <v>1.7782487122098141E-4</v>
      </c>
      <c r="K78" s="152">
        <v>2.3306054967113998E-3</v>
      </c>
      <c r="L78" s="152">
        <v>7.8967065066146798E-4</v>
      </c>
      <c r="M78" s="152">
        <v>1.73812512649027E-3</v>
      </c>
      <c r="N78" s="152">
        <v>5.5849939069299798E-4</v>
      </c>
      <c r="O78" s="204">
        <v>-3.1351587640665599E-3</v>
      </c>
      <c r="P78" s="204">
        <v>-7.1363304493457795E-4</v>
      </c>
      <c r="Q78" s="204">
        <v>1.743920131362654E-3</v>
      </c>
      <c r="R78" s="204">
        <v>5.1820820715842001E-4</v>
      </c>
      <c r="S78" s="205">
        <v>-4.6838606911525204E-3</v>
      </c>
      <c r="T78" s="197">
        <v>1</v>
      </c>
      <c r="U78" s="146">
        <v>0.25725697873654374</v>
      </c>
      <c r="V78" s="136"/>
      <c r="W78" s="136"/>
      <c r="X78" s="136"/>
      <c r="Y78" s="136"/>
      <c r="Z78" s="136"/>
      <c r="AA78" s="136"/>
      <c r="AB78" s="136"/>
      <c r="AC78" s="136"/>
      <c r="AD78" s="136"/>
    </row>
    <row r="79" spans="1:42">
      <c r="A79" s="136">
        <f t="shared" si="11"/>
        <v>76</v>
      </c>
      <c r="B79" s="133" t="s">
        <v>134</v>
      </c>
      <c r="C79" s="182">
        <v>1</v>
      </c>
      <c r="D79" s="176"/>
      <c r="E79" s="183"/>
      <c r="F79" s="184">
        <v>-1.1764691555529399E-2</v>
      </c>
      <c r="G79" s="184">
        <v>-3.7426350034770002E-3</v>
      </c>
      <c r="H79" s="184">
        <v>-3.2712756961544198E-3</v>
      </c>
      <c r="I79" s="184">
        <v>-1.4735580160546199E-3</v>
      </c>
      <c r="J79" s="184">
        <v>-1.8626529116485E-3</v>
      </c>
      <c r="K79" s="184">
        <v>-6.00265999630889E-3</v>
      </c>
      <c r="L79" s="184">
        <v>-2.1309915010386399E-3</v>
      </c>
      <c r="M79" s="184">
        <v>-8.1614333315255406E-3</v>
      </c>
      <c r="N79" s="184">
        <v>-2.63730699065063E-3</v>
      </c>
      <c r="O79" s="214">
        <v>-3.2819072668218599E-3</v>
      </c>
      <c r="P79" s="214">
        <v>-6.0424159123035797E-3</v>
      </c>
      <c r="Q79" s="214">
        <v>-8.1738575535649297E-3</v>
      </c>
      <c r="R79" s="214">
        <v>-8.3875797609369307E-3</v>
      </c>
      <c r="S79" s="215">
        <v>-3.1962507373733402E-3</v>
      </c>
      <c r="T79" s="197">
        <v>1</v>
      </c>
      <c r="U79" s="146">
        <v>1.6819477160091949</v>
      </c>
      <c r="V79" s="192" t="s">
        <v>135</v>
      </c>
      <c r="W79" s="136"/>
      <c r="X79" s="136"/>
      <c r="Y79" s="136"/>
      <c r="Z79" s="136"/>
      <c r="AA79" s="136"/>
      <c r="AB79" s="136"/>
      <c r="AC79" s="136"/>
      <c r="AD79" s="136"/>
    </row>
    <row r="80" spans="1:42">
      <c r="A80" s="136">
        <f t="shared" si="11"/>
        <v>77</v>
      </c>
      <c r="B80" s="193" t="s">
        <v>92</v>
      </c>
      <c r="C80" s="188">
        <v>1</v>
      </c>
      <c r="D80" s="194"/>
      <c r="E80" s="195"/>
      <c r="F80" s="196">
        <v>-7.1189545302493204E-3</v>
      </c>
      <c r="G80" s="196">
        <v>-9.9472456456849295E-3</v>
      </c>
      <c r="H80" s="196">
        <v>-5.0588574607077098E-3</v>
      </c>
      <c r="I80" s="196">
        <v>-5.1514916672556997E-3</v>
      </c>
      <c r="J80" s="196">
        <v>-4.9243296732856198E-3</v>
      </c>
      <c r="K80" s="196">
        <v>1.13703346626754E-4</v>
      </c>
      <c r="L80" s="196">
        <v>-9.9881668472161095E-3</v>
      </c>
      <c r="M80" s="196">
        <v>-1.17892238887705E-4</v>
      </c>
      <c r="N80" s="196">
        <v>-9.4472178106116706E-3</v>
      </c>
      <c r="O80" s="204">
        <v>-1.8230461878895399E-4</v>
      </c>
      <c r="P80" s="204">
        <v>-7.3877408383493496E-4</v>
      </c>
      <c r="Q80" s="204">
        <v>-2.7985393523788902E-4</v>
      </c>
      <c r="R80" s="204">
        <v>-4.72959115357665E-4</v>
      </c>
      <c r="S80" s="205">
        <v>-1.08345870491876E-2</v>
      </c>
      <c r="T80" s="197">
        <v>0</v>
      </c>
      <c r="U80" s="146">
        <v>2.0372686760368861</v>
      </c>
      <c r="V80" s="192" t="s">
        <v>146</v>
      </c>
      <c r="W80" s="136"/>
      <c r="X80" s="136"/>
      <c r="Y80" s="136"/>
      <c r="Z80" s="136"/>
      <c r="AA80" s="136"/>
      <c r="AB80" s="136"/>
      <c r="AC80" s="136"/>
      <c r="AD80" s="136"/>
    </row>
    <row r="81" spans="1:37">
      <c r="A81" s="136">
        <f t="shared" si="11"/>
        <v>78</v>
      </c>
      <c r="B81" s="222" t="s">
        <v>93</v>
      </c>
      <c r="C81" s="170">
        <v>1</v>
      </c>
      <c r="D81" s="154"/>
      <c r="E81" s="166"/>
      <c r="F81" s="152">
        <v>-1.2366087524846208E-3</v>
      </c>
      <c r="G81" s="152">
        <v>-8.075928143946429E-3</v>
      </c>
      <c r="H81" s="152">
        <v>-3.4232196126305001E-3</v>
      </c>
      <c r="I81" s="152">
        <v>-4.4147126592283901E-3</v>
      </c>
      <c r="J81" s="152">
        <v>-3.9930032174613703E-3</v>
      </c>
      <c r="K81" s="152">
        <v>3.1150333447811989E-3</v>
      </c>
      <c r="L81" s="152">
        <v>-8.9226710966967895E-3</v>
      </c>
      <c r="M81" s="152">
        <v>3.962824426875065E-3</v>
      </c>
      <c r="N81" s="152">
        <v>-8.1285643152863556E-3</v>
      </c>
      <c r="O81" s="204">
        <v>1.458649014621976E-3</v>
      </c>
      <c r="P81" s="204">
        <v>2.282433872316855E-3</v>
      </c>
      <c r="Q81" s="204">
        <v>3.8070748415445759E-3</v>
      </c>
      <c r="R81" s="204">
        <v>3.7208307651108003E-3</v>
      </c>
      <c r="S81" s="205">
        <v>-9.2364616805009295E-3</v>
      </c>
      <c r="T81" s="197">
        <v>1</v>
      </c>
      <c r="U81" s="146">
        <v>1.6881855323758861</v>
      </c>
      <c r="V81" s="206"/>
      <c r="W81" s="231">
        <v>1</v>
      </c>
      <c r="X81" s="231">
        <v>1</v>
      </c>
      <c r="Y81" s="231">
        <v>1</v>
      </c>
      <c r="Z81" s="231">
        <v>1</v>
      </c>
      <c r="AA81" s="231">
        <v>1</v>
      </c>
      <c r="AB81" s="231">
        <v>1</v>
      </c>
      <c r="AC81" s="231">
        <v>1</v>
      </c>
      <c r="AD81" s="231">
        <v>1</v>
      </c>
    </row>
    <row r="82" spans="1:37">
      <c r="A82" s="136">
        <f t="shared" si="11"/>
        <v>79</v>
      </c>
      <c r="B82" s="222" t="s">
        <v>89</v>
      </c>
      <c r="C82" s="170">
        <v>1</v>
      </c>
      <c r="D82" s="154"/>
      <c r="E82" s="166"/>
      <c r="F82" s="152">
        <v>-5.8823457777646996E-3</v>
      </c>
      <c r="G82" s="152">
        <v>8.1286824982614997E-3</v>
      </c>
      <c r="H82" s="152">
        <v>-1.6356378480772099E-3</v>
      </c>
      <c r="I82" s="152">
        <v>-7.3677900802730995E-4</v>
      </c>
      <c r="J82" s="152">
        <v>-9.3132645582424999E-4</v>
      </c>
      <c r="K82" s="152">
        <v>-3.001329998154445E-3</v>
      </c>
      <c r="L82" s="152">
        <v>-1.0654957505193199E-3</v>
      </c>
      <c r="M82" s="152">
        <v>-4.0807166657627703E-3</v>
      </c>
      <c r="N82" s="152">
        <v>-1.318653495325315E-3</v>
      </c>
      <c r="O82" s="204">
        <v>-1.6409536334109299E-3</v>
      </c>
      <c r="P82" s="204">
        <v>-3.0212079561517898E-3</v>
      </c>
      <c r="Q82" s="204">
        <v>-4.0869287767824648E-3</v>
      </c>
      <c r="R82" s="204">
        <v>-4.1937898804684653E-3</v>
      </c>
      <c r="S82" s="205">
        <v>-1.5981253686866701E-3</v>
      </c>
      <c r="T82" s="197">
        <v>1</v>
      </c>
      <c r="U82" s="146">
        <v>1.1545447282368217</v>
      </c>
      <c r="V82" s="136"/>
      <c r="W82" s="136"/>
      <c r="X82" s="136"/>
      <c r="Y82" s="136"/>
      <c r="Z82" s="136"/>
      <c r="AA82" s="136"/>
      <c r="AB82" s="136"/>
      <c r="AC82" s="136"/>
      <c r="AD82" s="136"/>
    </row>
    <row r="83" spans="1:37">
      <c r="A83" s="136">
        <f t="shared" si="11"/>
        <v>80</v>
      </c>
      <c r="B83" s="222" t="s">
        <v>94</v>
      </c>
      <c r="C83" s="170">
        <v>1</v>
      </c>
      <c r="D83" s="154"/>
      <c r="E83" s="166"/>
      <c r="F83" s="152">
        <v>-1.1764691555529399E-2</v>
      </c>
      <c r="G83" s="152">
        <v>-3.7426350034770002E-3</v>
      </c>
      <c r="H83" s="152">
        <v>-3.2712756961544198E-3</v>
      </c>
      <c r="I83" s="152">
        <v>-1.4735580160546199E-3</v>
      </c>
      <c r="J83" s="152">
        <v>-1.8626529116485E-3</v>
      </c>
      <c r="K83" s="152">
        <v>-6.00265999630889E-3</v>
      </c>
      <c r="L83" s="152">
        <v>-2.1309915010386399E-3</v>
      </c>
      <c r="M83" s="152">
        <v>1.8385666684744596E-3</v>
      </c>
      <c r="N83" s="152">
        <v>-2.63730699065063E-3</v>
      </c>
      <c r="O83" s="204">
        <v>-3.2819072668218599E-3</v>
      </c>
      <c r="P83" s="204">
        <v>-6.0424159123035797E-3</v>
      </c>
      <c r="Q83" s="204">
        <v>-8.1738575535649297E-3</v>
      </c>
      <c r="R83" s="204">
        <v>-8.3875797609369307E-3</v>
      </c>
      <c r="S83" s="205">
        <v>-3.1962507373733402E-3</v>
      </c>
      <c r="T83" s="197">
        <v>1</v>
      </c>
      <c r="U83" s="146">
        <v>1.4821138461951699</v>
      </c>
      <c r="V83" s="206" t="s">
        <v>200</v>
      </c>
      <c r="W83" s="231">
        <v>1</v>
      </c>
      <c r="X83" s="231">
        <v>1</v>
      </c>
      <c r="Y83" s="231">
        <v>1</v>
      </c>
      <c r="Z83" s="231">
        <v>1</v>
      </c>
      <c r="AA83" s="231">
        <v>1</v>
      </c>
      <c r="AB83" s="231">
        <v>1</v>
      </c>
      <c r="AC83" s="231">
        <v>1</v>
      </c>
      <c r="AD83" s="232">
        <v>-0.2252749723963981</v>
      </c>
    </row>
    <row r="84" spans="1:37">
      <c r="A84" s="136">
        <f t="shared" si="11"/>
        <v>81</v>
      </c>
      <c r="B84" s="193" t="s">
        <v>95</v>
      </c>
      <c r="C84" s="188">
        <v>1</v>
      </c>
      <c r="D84" s="194"/>
      <c r="E84" s="195"/>
      <c r="F84" s="199">
        <v>1.1764691555529399E-2</v>
      </c>
      <c r="G84" s="199">
        <v>3.7426350034770002E-3</v>
      </c>
      <c r="H84" s="199">
        <v>3.2712756961544198E-3</v>
      </c>
      <c r="I84" s="199">
        <v>1.4735580160546199E-3</v>
      </c>
      <c r="J84" s="199">
        <v>1.8626529116485E-3</v>
      </c>
      <c r="K84" s="199">
        <v>6.00265999630889E-3</v>
      </c>
      <c r="L84" s="199">
        <v>2.1309915010386399E-3</v>
      </c>
      <c r="M84" s="199">
        <v>8.1614333315255406E-3</v>
      </c>
      <c r="N84" s="199">
        <v>2.63730699065063E-3</v>
      </c>
      <c r="O84" s="216">
        <v>3.2819072668218599E-3</v>
      </c>
      <c r="P84" s="216">
        <v>6.0424159123035797E-3</v>
      </c>
      <c r="Q84" s="216">
        <v>8.1738575535649297E-3</v>
      </c>
      <c r="R84" s="216">
        <v>8.3875797609369307E-3</v>
      </c>
      <c r="S84" s="217">
        <v>3.1962507373733402E-3</v>
      </c>
      <c r="T84" s="197"/>
      <c r="U84" s="146">
        <v>1.6819477160091949</v>
      </c>
      <c r="V84" s="192" t="s">
        <v>198</v>
      </c>
      <c r="W84" s="231">
        <v>-1</v>
      </c>
      <c r="X84" s="231">
        <v>-1</v>
      </c>
      <c r="Y84" s="231">
        <v>-1</v>
      </c>
      <c r="Z84" s="231">
        <v>-1</v>
      </c>
      <c r="AA84" s="231">
        <v>-1</v>
      </c>
      <c r="AB84" s="231">
        <v>-1</v>
      </c>
      <c r="AC84" s="231">
        <v>-1</v>
      </c>
      <c r="AD84" s="231">
        <v>-1</v>
      </c>
    </row>
    <row r="85" spans="1:37">
      <c r="A85" s="136">
        <f t="shared" si="11"/>
        <v>82</v>
      </c>
      <c r="B85" s="222" t="s">
        <v>49</v>
      </c>
      <c r="C85" s="170">
        <v>1</v>
      </c>
      <c r="D85" s="154"/>
      <c r="E85" s="166"/>
      <c r="F85" s="153">
        <v>0.01</v>
      </c>
      <c r="G85" s="153">
        <v>0</v>
      </c>
      <c r="H85" s="153">
        <v>0</v>
      </c>
      <c r="I85" s="153">
        <v>0</v>
      </c>
      <c r="J85" s="153">
        <v>0</v>
      </c>
      <c r="K85" s="153">
        <v>0</v>
      </c>
      <c r="L85" s="153">
        <v>0</v>
      </c>
      <c r="M85" s="153">
        <v>0</v>
      </c>
      <c r="N85" s="153">
        <v>0</v>
      </c>
      <c r="O85" s="216">
        <v>0</v>
      </c>
      <c r="P85" s="216">
        <v>0</v>
      </c>
      <c r="Q85" s="216">
        <v>0</v>
      </c>
      <c r="R85" s="216">
        <v>0</v>
      </c>
      <c r="S85" s="217">
        <v>0</v>
      </c>
      <c r="T85" s="197">
        <v>1</v>
      </c>
      <c r="U85" s="146">
        <v>1</v>
      </c>
      <c r="V85" s="136"/>
      <c r="W85" s="136"/>
      <c r="X85" s="136"/>
      <c r="Y85" s="136"/>
      <c r="Z85" s="136"/>
      <c r="AA85" s="136"/>
      <c r="AB85" s="136"/>
      <c r="AC85" s="136"/>
      <c r="AD85" s="136"/>
    </row>
    <row r="86" spans="1:37">
      <c r="A86" s="136">
        <f t="shared" si="11"/>
        <v>83</v>
      </c>
      <c r="B86" s="222" t="s">
        <v>50</v>
      </c>
      <c r="C86" s="170">
        <v>1</v>
      </c>
      <c r="D86" s="154"/>
      <c r="E86" s="166"/>
      <c r="F86" s="153">
        <v>0</v>
      </c>
      <c r="G86" s="153">
        <v>0</v>
      </c>
      <c r="H86" s="153">
        <v>0.01</v>
      </c>
      <c r="I86" s="153">
        <v>0</v>
      </c>
      <c r="J86" s="153">
        <v>0</v>
      </c>
      <c r="K86" s="153">
        <v>0</v>
      </c>
      <c r="L86" s="153">
        <v>0</v>
      </c>
      <c r="M86" s="153">
        <v>0</v>
      </c>
      <c r="N86" s="153">
        <v>0</v>
      </c>
      <c r="O86" s="216">
        <v>0</v>
      </c>
      <c r="P86" s="216">
        <v>0</v>
      </c>
      <c r="Q86" s="216">
        <v>0</v>
      </c>
      <c r="R86" s="216">
        <v>0</v>
      </c>
      <c r="S86" s="217">
        <v>0</v>
      </c>
      <c r="T86" s="197">
        <v>1</v>
      </c>
      <c r="U86" s="146">
        <v>1</v>
      </c>
      <c r="V86" s="136"/>
      <c r="W86" s="136"/>
      <c r="X86" s="136"/>
      <c r="Y86" s="136"/>
      <c r="Z86" s="136"/>
      <c r="AA86" s="136"/>
      <c r="AB86" s="136"/>
      <c r="AC86" s="136"/>
      <c r="AD86" s="136"/>
      <c r="AE86" s="84">
        <f t="shared" ref="AE86:AJ86" si="12">N86/N66</f>
        <v>0</v>
      </c>
      <c r="AF86" s="84">
        <f t="shared" si="12"/>
        <v>0</v>
      </c>
      <c r="AG86" s="84">
        <f t="shared" si="12"/>
        <v>0</v>
      </c>
      <c r="AH86" s="84">
        <f t="shared" si="12"/>
        <v>0</v>
      </c>
      <c r="AI86" s="84">
        <f t="shared" si="12"/>
        <v>0</v>
      </c>
      <c r="AJ86" s="84">
        <f t="shared" si="12"/>
        <v>0</v>
      </c>
    </row>
    <row r="87" spans="1:37">
      <c r="A87" s="136">
        <f t="shared" si="11"/>
        <v>84</v>
      </c>
      <c r="B87" s="222" t="s">
        <v>51</v>
      </c>
      <c r="C87" s="170">
        <v>1</v>
      </c>
      <c r="D87" s="154"/>
      <c r="E87" s="166"/>
      <c r="F87" s="153">
        <v>0</v>
      </c>
      <c r="G87" s="153">
        <v>0</v>
      </c>
      <c r="H87" s="153">
        <v>0</v>
      </c>
      <c r="I87" s="153">
        <v>0.01</v>
      </c>
      <c r="J87" s="153">
        <v>0</v>
      </c>
      <c r="K87" s="153">
        <v>0</v>
      </c>
      <c r="L87" s="153">
        <v>0</v>
      </c>
      <c r="M87" s="153">
        <v>0</v>
      </c>
      <c r="N87" s="153">
        <v>0</v>
      </c>
      <c r="O87" s="216">
        <v>0</v>
      </c>
      <c r="P87" s="216">
        <v>0</v>
      </c>
      <c r="Q87" s="216">
        <v>0</v>
      </c>
      <c r="R87" s="216">
        <v>0</v>
      </c>
      <c r="S87" s="217">
        <v>0</v>
      </c>
      <c r="T87" s="197">
        <v>1</v>
      </c>
      <c r="U87" s="146">
        <v>1</v>
      </c>
      <c r="V87" s="136"/>
      <c r="W87" s="136"/>
      <c r="X87" s="136"/>
      <c r="Y87" s="136"/>
      <c r="Z87" s="136"/>
      <c r="AA87" s="136"/>
      <c r="AB87" s="136"/>
      <c r="AC87" s="136"/>
      <c r="AD87" s="136"/>
      <c r="AE87" s="84">
        <f t="shared" ref="AE87:AK87" si="13">N87/N82</f>
        <v>0</v>
      </c>
      <c r="AF87" s="84">
        <f t="shared" si="13"/>
        <v>0</v>
      </c>
      <c r="AG87" s="84">
        <f t="shared" si="13"/>
        <v>0</v>
      </c>
      <c r="AH87" s="84">
        <f t="shared" si="13"/>
        <v>0</v>
      </c>
      <c r="AI87" s="84">
        <f t="shared" si="13"/>
        <v>0</v>
      </c>
      <c r="AJ87" s="84">
        <f t="shared" si="13"/>
        <v>0</v>
      </c>
      <c r="AK87" s="84">
        <f t="shared" si="13"/>
        <v>1</v>
      </c>
    </row>
    <row r="88" spans="1:37">
      <c r="A88" s="136">
        <f t="shared" si="11"/>
        <v>85</v>
      </c>
      <c r="B88" s="222" t="s">
        <v>52</v>
      </c>
      <c r="C88" s="170">
        <v>1</v>
      </c>
      <c r="D88" s="154"/>
      <c r="E88" s="166"/>
      <c r="F88" s="153">
        <v>0</v>
      </c>
      <c r="G88" s="153">
        <v>0</v>
      </c>
      <c r="H88" s="153">
        <v>0</v>
      </c>
      <c r="I88" s="153">
        <v>0</v>
      </c>
      <c r="J88" s="153">
        <v>0.01</v>
      </c>
      <c r="K88" s="153">
        <v>0</v>
      </c>
      <c r="L88" s="153">
        <v>0</v>
      </c>
      <c r="M88" s="153">
        <v>0</v>
      </c>
      <c r="N88" s="153">
        <v>0</v>
      </c>
      <c r="O88" s="216">
        <v>0</v>
      </c>
      <c r="P88" s="216">
        <v>0</v>
      </c>
      <c r="Q88" s="216">
        <v>0</v>
      </c>
      <c r="R88" s="216">
        <v>0</v>
      </c>
      <c r="S88" s="217">
        <v>0</v>
      </c>
      <c r="T88" s="197">
        <v>1</v>
      </c>
      <c r="U88" s="146">
        <v>1</v>
      </c>
      <c r="V88" s="136"/>
      <c r="W88" s="136"/>
      <c r="X88" s="136"/>
      <c r="Y88" s="136"/>
      <c r="Z88" s="136"/>
      <c r="AA88" s="136"/>
      <c r="AB88" s="136"/>
      <c r="AC88" s="136"/>
      <c r="AD88" s="136"/>
    </row>
    <row r="89" spans="1:37">
      <c r="A89" s="136">
        <f t="shared" si="11"/>
        <v>86</v>
      </c>
      <c r="B89" s="222" t="s">
        <v>53</v>
      </c>
      <c r="C89" s="170">
        <v>1</v>
      </c>
      <c r="D89" s="154"/>
      <c r="E89" s="166"/>
      <c r="F89" s="153">
        <v>0</v>
      </c>
      <c r="G89" s="153">
        <v>0</v>
      </c>
      <c r="H89" s="153">
        <v>0</v>
      </c>
      <c r="I89" s="153">
        <v>0</v>
      </c>
      <c r="J89" s="153">
        <v>0</v>
      </c>
      <c r="K89" s="153">
        <v>0.01</v>
      </c>
      <c r="L89" s="153">
        <v>0</v>
      </c>
      <c r="M89" s="153">
        <v>0</v>
      </c>
      <c r="N89" s="153">
        <v>0</v>
      </c>
      <c r="O89" s="216">
        <v>0</v>
      </c>
      <c r="P89" s="216">
        <v>0</v>
      </c>
      <c r="Q89" s="216">
        <v>0</v>
      </c>
      <c r="R89" s="216">
        <v>0</v>
      </c>
      <c r="S89" s="217">
        <v>0</v>
      </c>
      <c r="T89" s="197">
        <v>1</v>
      </c>
      <c r="U89" s="146">
        <v>1</v>
      </c>
      <c r="V89" s="136"/>
      <c r="W89" s="136"/>
      <c r="X89" s="136"/>
      <c r="Y89" s="136"/>
      <c r="Z89" s="136"/>
      <c r="AA89" s="136"/>
      <c r="AB89" s="136"/>
      <c r="AC89" s="136"/>
      <c r="AD89" s="136"/>
    </row>
    <row r="90" spans="1:37">
      <c r="A90" s="136">
        <f t="shared" si="11"/>
        <v>87</v>
      </c>
      <c r="B90" s="222" t="s">
        <v>54</v>
      </c>
      <c r="C90" s="170">
        <v>1</v>
      </c>
      <c r="D90" s="154"/>
      <c r="E90" s="166"/>
      <c r="F90" s="153">
        <v>0</v>
      </c>
      <c r="G90" s="153">
        <v>0</v>
      </c>
      <c r="H90" s="153">
        <v>0</v>
      </c>
      <c r="I90" s="153">
        <v>0</v>
      </c>
      <c r="J90" s="153">
        <v>0</v>
      </c>
      <c r="K90" s="153">
        <v>0</v>
      </c>
      <c r="L90" s="153">
        <v>0.01</v>
      </c>
      <c r="M90" s="153">
        <v>0</v>
      </c>
      <c r="N90" s="153">
        <v>0</v>
      </c>
      <c r="O90" s="216">
        <v>0</v>
      </c>
      <c r="P90" s="216">
        <v>0</v>
      </c>
      <c r="Q90" s="216">
        <v>0</v>
      </c>
      <c r="R90" s="216">
        <v>0</v>
      </c>
      <c r="S90" s="217">
        <v>0</v>
      </c>
      <c r="T90" s="197">
        <v>1</v>
      </c>
      <c r="U90" s="146">
        <v>1</v>
      </c>
      <c r="V90" s="136"/>
      <c r="W90" s="136"/>
      <c r="X90" s="136"/>
      <c r="Y90" s="136"/>
      <c r="Z90" s="136"/>
      <c r="AA90" s="136"/>
      <c r="AB90" s="136"/>
      <c r="AC90" s="136"/>
      <c r="AD90" s="136"/>
    </row>
    <row r="91" spans="1:37">
      <c r="A91" s="136">
        <f t="shared" si="11"/>
        <v>88</v>
      </c>
      <c r="B91" s="222" t="s">
        <v>55</v>
      </c>
      <c r="C91" s="170">
        <v>1</v>
      </c>
      <c r="D91" s="154"/>
      <c r="E91" s="166"/>
      <c r="F91" s="153">
        <v>0</v>
      </c>
      <c r="G91" s="153">
        <v>0</v>
      </c>
      <c r="H91" s="153">
        <v>0</v>
      </c>
      <c r="I91" s="153">
        <v>0</v>
      </c>
      <c r="J91" s="153">
        <v>0</v>
      </c>
      <c r="K91" s="153">
        <v>0</v>
      </c>
      <c r="L91" s="153">
        <v>0</v>
      </c>
      <c r="M91" s="153">
        <v>0</v>
      </c>
      <c r="N91" s="153">
        <v>0.01</v>
      </c>
      <c r="O91" s="216">
        <v>0</v>
      </c>
      <c r="P91" s="216">
        <v>0</v>
      </c>
      <c r="Q91" s="216">
        <v>0</v>
      </c>
      <c r="R91" s="216">
        <v>0</v>
      </c>
      <c r="S91" s="217">
        <v>0</v>
      </c>
      <c r="T91" s="197">
        <v>1</v>
      </c>
      <c r="U91" s="146">
        <v>1</v>
      </c>
      <c r="V91" s="136"/>
      <c r="W91" s="136"/>
      <c r="X91" s="136"/>
      <c r="Y91" s="136"/>
      <c r="Z91" s="136"/>
      <c r="AA91" s="136"/>
      <c r="AB91" s="136"/>
      <c r="AC91" s="136"/>
      <c r="AD91" s="136"/>
    </row>
    <row r="92" spans="1:37">
      <c r="A92" s="136">
        <f t="shared" si="11"/>
        <v>89</v>
      </c>
      <c r="B92" s="193" t="s">
        <v>56</v>
      </c>
      <c r="C92" s="188">
        <v>1</v>
      </c>
      <c r="D92" s="194"/>
      <c r="E92" s="195"/>
      <c r="F92" s="199">
        <v>0</v>
      </c>
      <c r="G92" s="199">
        <v>0</v>
      </c>
      <c r="H92" s="199">
        <v>0</v>
      </c>
      <c r="I92" s="199">
        <v>0</v>
      </c>
      <c r="J92" s="199">
        <v>0</v>
      </c>
      <c r="K92" s="199">
        <v>0</v>
      </c>
      <c r="L92" s="199">
        <v>0</v>
      </c>
      <c r="M92" s="199">
        <v>0</v>
      </c>
      <c r="N92" s="199">
        <v>0</v>
      </c>
      <c r="O92" s="216">
        <v>0.01</v>
      </c>
      <c r="P92" s="216">
        <v>0</v>
      </c>
      <c r="Q92" s="216">
        <v>0</v>
      </c>
      <c r="R92" s="216">
        <v>0</v>
      </c>
      <c r="S92" s="217">
        <v>0</v>
      </c>
      <c r="T92" s="197"/>
      <c r="U92" s="146">
        <v>0</v>
      </c>
      <c r="V92" s="192" t="s">
        <v>145</v>
      </c>
      <c r="W92" s="136"/>
      <c r="X92" s="136"/>
      <c r="Y92" s="136"/>
      <c r="Z92" s="136"/>
      <c r="AA92" s="136"/>
      <c r="AB92" s="136"/>
      <c r="AC92" s="136"/>
      <c r="AD92" s="136"/>
    </row>
    <row r="93" spans="1:37">
      <c r="A93" s="136">
        <f t="shared" si="11"/>
        <v>90</v>
      </c>
      <c r="B93" s="193" t="s">
        <v>57</v>
      </c>
      <c r="C93" s="188">
        <v>1</v>
      </c>
      <c r="D93" s="194"/>
      <c r="E93" s="195"/>
      <c r="F93" s="199">
        <v>0</v>
      </c>
      <c r="G93" s="199">
        <v>0</v>
      </c>
      <c r="H93" s="199">
        <v>0</v>
      </c>
      <c r="I93" s="199">
        <v>0</v>
      </c>
      <c r="J93" s="199">
        <v>0</v>
      </c>
      <c r="K93" s="199">
        <v>0</v>
      </c>
      <c r="L93" s="199">
        <v>0</v>
      </c>
      <c r="M93" s="199">
        <v>0</v>
      </c>
      <c r="N93" s="199">
        <v>0</v>
      </c>
      <c r="O93" s="216">
        <v>0</v>
      </c>
      <c r="P93" s="216">
        <v>0.01</v>
      </c>
      <c r="Q93" s="216">
        <v>0</v>
      </c>
      <c r="R93" s="216">
        <v>0</v>
      </c>
      <c r="S93" s="217">
        <v>0</v>
      </c>
      <c r="T93" s="197"/>
      <c r="U93" s="146">
        <v>0</v>
      </c>
      <c r="V93" s="192" t="s">
        <v>145</v>
      </c>
      <c r="W93" s="136"/>
      <c r="X93" s="136"/>
      <c r="Y93" s="136"/>
      <c r="Z93" s="136"/>
      <c r="AA93" s="136"/>
      <c r="AB93" s="136"/>
      <c r="AC93" s="136"/>
      <c r="AD93" s="136"/>
    </row>
    <row r="94" spans="1:37">
      <c r="A94" s="136">
        <f t="shared" si="11"/>
        <v>91</v>
      </c>
      <c r="B94" s="193" t="s">
        <v>58</v>
      </c>
      <c r="C94" s="188">
        <v>1</v>
      </c>
      <c r="D94" s="194"/>
      <c r="E94" s="195"/>
      <c r="F94" s="199">
        <v>0</v>
      </c>
      <c r="G94" s="199">
        <v>0</v>
      </c>
      <c r="H94" s="199">
        <v>0</v>
      </c>
      <c r="I94" s="199">
        <v>0</v>
      </c>
      <c r="J94" s="199">
        <v>0</v>
      </c>
      <c r="K94" s="199">
        <v>0</v>
      </c>
      <c r="L94" s="199">
        <v>0</v>
      </c>
      <c r="M94" s="199">
        <v>0</v>
      </c>
      <c r="N94" s="199">
        <v>0</v>
      </c>
      <c r="O94" s="216">
        <v>0</v>
      </c>
      <c r="P94" s="216">
        <v>0</v>
      </c>
      <c r="Q94" s="216">
        <v>0.01</v>
      </c>
      <c r="R94" s="216">
        <v>0</v>
      </c>
      <c r="S94" s="217">
        <v>0</v>
      </c>
      <c r="T94" s="197"/>
      <c r="U94" s="146">
        <v>0</v>
      </c>
      <c r="V94" s="192" t="s">
        <v>145</v>
      </c>
      <c r="W94" s="136"/>
      <c r="X94" s="136"/>
      <c r="Y94" s="136"/>
      <c r="Z94" s="136"/>
      <c r="AA94" s="136"/>
      <c r="AB94" s="136"/>
      <c r="AC94" s="136"/>
      <c r="AD94" s="136"/>
    </row>
    <row r="95" spans="1:37">
      <c r="A95" s="136">
        <f t="shared" si="11"/>
        <v>92</v>
      </c>
      <c r="B95" s="193" t="s">
        <v>59</v>
      </c>
      <c r="C95" s="188">
        <v>1</v>
      </c>
      <c r="D95" s="194"/>
      <c r="E95" s="195"/>
      <c r="F95" s="199">
        <v>0</v>
      </c>
      <c r="G95" s="199">
        <v>0</v>
      </c>
      <c r="H95" s="199">
        <v>0</v>
      </c>
      <c r="I95" s="199">
        <v>0</v>
      </c>
      <c r="J95" s="199">
        <v>0</v>
      </c>
      <c r="K95" s="199">
        <v>0</v>
      </c>
      <c r="L95" s="199">
        <v>0</v>
      </c>
      <c r="M95" s="199">
        <v>0</v>
      </c>
      <c r="N95" s="199">
        <v>0</v>
      </c>
      <c r="O95" s="216">
        <v>0</v>
      </c>
      <c r="P95" s="216">
        <v>0</v>
      </c>
      <c r="Q95" s="216">
        <v>0</v>
      </c>
      <c r="R95" s="216">
        <v>0.01</v>
      </c>
      <c r="S95" s="217">
        <v>0</v>
      </c>
      <c r="T95" s="197"/>
      <c r="U95" s="146">
        <v>0</v>
      </c>
      <c r="V95" s="192" t="s">
        <v>145</v>
      </c>
      <c r="W95" s="136"/>
      <c r="X95" s="136"/>
      <c r="Y95" s="136"/>
      <c r="Z95" s="136"/>
      <c r="AA95" s="136"/>
      <c r="AB95" s="136"/>
      <c r="AC95" s="136"/>
      <c r="AD95" s="136"/>
    </row>
    <row r="96" spans="1:37" ht="15.75" thickBot="1">
      <c r="A96" s="136">
        <f t="shared" si="11"/>
        <v>93</v>
      </c>
      <c r="B96" s="200" t="s">
        <v>60</v>
      </c>
      <c r="C96" s="188">
        <v>1</v>
      </c>
      <c r="D96" s="201"/>
      <c r="E96" s="202"/>
      <c r="F96" s="203">
        <v>0</v>
      </c>
      <c r="G96" s="203">
        <v>0</v>
      </c>
      <c r="H96" s="203">
        <v>0</v>
      </c>
      <c r="I96" s="203">
        <v>0</v>
      </c>
      <c r="J96" s="203">
        <v>0</v>
      </c>
      <c r="K96" s="203">
        <v>0</v>
      </c>
      <c r="L96" s="203">
        <v>0</v>
      </c>
      <c r="M96" s="203">
        <v>0</v>
      </c>
      <c r="N96" s="203">
        <v>0</v>
      </c>
      <c r="O96" s="218">
        <v>0</v>
      </c>
      <c r="P96" s="218">
        <v>0</v>
      </c>
      <c r="Q96" s="218">
        <v>0</v>
      </c>
      <c r="R96" s="218">
        <v>0</v>
      </c>
      <c r="S96" s="219">
        <v>0.01</v>
      </c>
      <c r="T96" s="197"/>
      <c r="U96" s="146">
        <v>0</v>
      </c>
      <c r="V96" s="192" t="s">
        <v>145</v>
      </c>
      <c r="W96" s="136"/>
      <c r="X96" s="136"/>
      <c r="Y96" s="136"/>
      <c r="Z96" s="136"/>
      <c r="AA96" s="136"/>
      <c r="AB96" s="136"/>
      <c r="AC96" s="136"/>
      <c r="AD96" s="136"/>
    </row>
    <row r="97" spans="1:30" ht="15.75" thickBot="1">
      <c r="A97" s="136">
        <f t="shared" si="11"/>
        <v>94</v>
      </c>
      <c r="B97" s="234" t="s">
        <v>196</v>
      </c>
      <c r="C97" s="224">
        <v>1</v>
      </c>
      <c r="D97" s="225"/>
      <c r="E97" s="226"/>
      <c r="F97" s="227">
        <v>3.511176693690882E-3</v>
      </c>
      <c r="G97" s="227">
        <v>5.179854726336054E-3</v>
      </c>
      <c r="H97" s="227">
        <v>-1.934455380586641E-4</v>
      </c>
      <c r="I97" s="227">
        <v>-3.8633036441281031E-4</v>
      </c>
      <c r="J97" s="227">
        <v>2.0247299650140173E-3</v>
      </c>
      <c r="K97" s="227">
        <v>6.973571469088711E-3</v>
      </c>
      <c r="L97" s="227">
        <v>1.5032680798124009E-3</v>
      </c>
      <c r="M97" s="227">
        <v>-1.5851319886720098E-3</v>
      </c>
      <c r="N97" s="227">
        <v>1.7752132565035663E-3</v>
      </c>
      <c r="O97" s="227">
        <v>0</v>
      </c>
      <c r="P97" s="227">
        <v>0</v>
      </c>
      <c r="Q97" s="227">
        <v>0</v>
      </c>
      <c r="R97" s="227">
        <v>0</v>
      </c>
      <c r="S97" s="228">
        <v>0</v>
      </c>
      <c r="T97" s="150">
        <v>1</v>
      </c>
      <c r="U97" s="146"/>
      <c r="V97" s="136"/>
      <c r="W97" s="136"/>
      <c r="X97" s="136"/>
      <c r="Y97" s="136"/>
      <c r="Z97" s="136"/>
      <c r="AA97" s="136"/>
      <c r="AB97" s="136"/>
      <c r="AC97" s="136"/>
      <c r="AD97" s="136"/>
    </row>
    <row r="98" spans="1:30" ht="15.75" thickBot="1">
      <c r="A98" s="136"/>
      <c r="B98" s="149"/>
      <c r="C98" s="171"/>
      <c r="D98" s="151"/>
      <c r="E98" s="151"/>
      <c r="F98" s="150"/>
      <c r="G98" s="150"/>
      <c r="H98" s="150"/>
      <c r="I98" s="150"/>
      <c r="J98" s="150"/>
      <c r="K98" s="150"/>
      <c r="L98" s="150"/>
      <c r="M98" s="150"/>
      <c r="N98" s="150"/>
      <c r="O98" s="150"/>
      <c r="P98" s="150"/>
      <c r="Q98" s="150"/>
      <c r="R98" s="150"/>
      <c r="S98" s="150"/>
      <c r="T98" s="150"/>
      <c r="U98" s="146"/>
      <c r="V98" s="136"/>
      <c r="W98" s="136"/>
      <c r="X98" s="136"/>
      <c r="Y98" s="136"/>
      <c r="Z98" s="136"/>
      <c r="AA98" s="136"/>
      <c r="AB98" s="136"/>
      <c r="AC98" s="136"/>
      <c r="AD98" s="136"/>
    </row>
    <row r="99" spans="1:30">
      <c r="A99" s="136"/>
      <c r="B99" s="156" t="s">
        <v>107</v>
      </c>
      <c r="C99" s="172"/>
      <c r="D99" s="157"/>
      <c r="E99" s="157"/>
      <c r="F99" s="167"/>
      <c r="G99" s="168"/>
      <c r="H99" s="168"/>
      <c r="I99" s="168"/>
      <c r="J99" s="168"/>
      <c r="K99" s="168"/>
      <c r="L99" s="168"/>
      <c r="M99" s="168"/>
      <c r="N99" s="168"/>
      <c r="O99" s="168"/>
      <c r="P99" s="168"/>
      <c r="Q99" s="168"/>
      <c r="R99" s="168"/>
      <c r="S99" s="169"/>
      <c r="T99" s="150"/>
      <c r="U99" s="146"/>
      <c r="V99" s="136"/>
      <c r="W99" s="136"/>
      <c r="X99" s="136"/>
      <c r="Y99" s="136"/>
      <c r="Z99" s="136"/>
      <c r="AA99" s="136"/>
      <c r="AB99" s="136"/>
      <c r="AC99" s="136"/>
      <c r="AD99" s="136"/>
    </row>
    <row r="100" spans="1:30">
      <c r="A100" s="118"/>
      <c r="B100" s="155" t="s">
        <v>108</v>
      </c>
      <c r="C100" s="139"/>
      <c r="D100" s="151"/>
      <c r="E100" s="151"/>
      <c r="F100" s="173">
        <v>1E-3</v>
      </c>
      <c r="G100" s="174">
        <v>1E-3</v>
      </c>
      <c r="H100" s="174">
        <v>1E-3</v>
      </c>
      <c r="I100" s="174">
        <v>1E-3</v>
      </c>
      <c r="J100" s="174">
        <v>1E-3</v>
      </c>
      <c r="K100" s="174">
        <v>1E-3</v>
      </c>
      <c r="L100" s="174">
        <v>1E-3</v>
      </c>
      <c r="M100" s="174">
        <v>1E-3</v>
      </c>
      <c r="N100" s="174">
        <v>1E-3</v>
      </c>
      <c r="O100" s="174">
        <v>1E-3</v>
      </c>
      <c r="P100" s="174">
        <v>1E-3</v>
      </c>
      <c r="Q100" s="174">
        <v>1E-3</v>
      </c>
      <c r="R100" s="174">
        <v>1E-3</v>
      </c>
      <c r="S100" s="175">
        <v>1E-3</v>
      </c>
      <c r="T100" s="150"/>
      <c r="U100" s="146"/>
    </row>
    <row r="101" spans="1:30" ht="15.75" thickBot="1">
      <c r="B101" s="158" t="s">
        <v>109</v>
      </c>
      <c r="C101" s="140"/>
      <c r="D101" s="159"/>
      <c r="E101" s="159"/>
      <c r="F101" s="162"/>
      <c r="G101" s="160"/>
      <c r="H101" s="160"/>
      <c r="I101" s="160"/>
      <c r="J101" s="160"/>
      <c r="K101" s="160"/>
      <c r="L101" s="160"/>
      <c r="M101" s="160"/>
      <c r="N101" s="160"/>
      <c r="O101" s="160"/>
      <c r="P101" s="160"/>
      <c r="Q101" s="160"/>
      <c r="R101" s="160"/>
      <c r="S101" s="161"/>
      <c r="T101" s="150"/>
      <c r="U101" s="146"/>
    </row>
    <row r="102" spans="1:30" ht="15.75" thickBot="1">
      <c r="B102" s="149"/>
      <c r="C102" s="150"/>
      <c r="D102" s="151"/>
      <c r="E102" s="151"/>
      <c r="F102" s="163" t="s">
        <v>85</v>
      </c>
      <c r="G102" s="164" t="s">
        <v>89</v>
      </c>
      <c r="H102" s="164" t="s">
        <v>86</v>
      </c>
      <c r="I102" s="164" t="s">
        <v>87</v>
      </c>
      <c r="J102" s="164" t="s">
        <v>88</v>
      </c>
      <c r="K102" s="164" t="s">
        <v>96</v>
      </c>
      <c r="L102" s="164" t="s">
        <v>97</v>
      </c>
      <c r="M102" s="164" t="s">
        <v>94</v>
      </c>
      <c r="N102" s="164" t="s">
        <v>98</v>
      </c>
      <c r="O102" s="164" t="s">
        <v>90</v>
      </c>
      <c r="P102" s="164" t="s">
        <v>101</v>
      </c>
      <c r="Q102" s="164" t="s">
        <v>99</v>
      </c>
      <c r="R102" s="164" t="s">
        <v>100</v>
      </c>
      <c r="S102" s="165" t="s">
        <v>102</v>
      </c>
      <c r="T102" s="150"/>
      <c r="U102" s="136"/>
    </row>
    <row r="103" spans="1:30">
      <c r="A103" s="136"/>
      <c r="B103" s="136"/>
      <c r="C103" s="136"/>
      <c r="D103" s="136"/>
      <c r="E103" s="136"/>
      <c r="F103" s="136"/>
      <c r="G103" s="136"/>
      <c r="H103" s="136"/>
      <c r="I103" s="136"/>
      <c r="J103" s="136"/>
      <c r="K103" s="136"/>
      <c r="L103" s="136"/>
      <c r="M103" s="136"/>
      <c r="N103" s="136"/>
      <c r="O103" s="136"/>
      <c r="P103" s="136"/>
      <c r="Q103" s="136"/>
      <c r="R103" s="136"/>
      <c r="S103" s="136"/>
      <c r="T103" s="136"/>
      <c r="U103" s="136"/>
    </row>
    <row r="104" spans="1:30">
      <c r="A104" s="136"/>
      <c r="B104" s="136"/>
      <c r="C104" s="136"/>
      <c r="D104" s="136"/>
      <c r="E104" s="136"/>
      <c r="F104" s="136"/>
      <c r="G104" s="136"/>
      <c r="H104" s="136"/>
      <c r="I104" s="136"/>
      <c r="J104" s="136"/>
      <c r="K104" s="136"/>
      <c r="L104" s="136"/>
      <c r="M104" s="136"/>
      <c r="N104" s="136"/>
      <c r="O104" s="136"/>
      <c r="P104" s="136"/>
      <c r="Q104" s="136"/>
      <c r="R104" s="136"/>
      <c r="S104" s="136"/>
      <c r="T104" s="136"/>
      <c r="U104" s="136"/>
    </row>
    <row r="105" spans="1:30">
      <c r="A105" s="136"/>
      <c r="B105" s="136"/>
      <c r="C105" s="136"/>
      <c r="D105" s="136"/>
      <c r="E105" s="136"/>
      <c r="F105" s="136"/>
      <c r="G105" s="136"/>
      <c r="H105" s="136"/>
      <c r="I105" s="136"/>
      <c r="J105" s="136"/>
      <c r="K105" s="136"/>
      <c r="L105" s="136"/>
      <c r="M105" s="136"/>
      <c r="N105" s="136"/>
      <c r="O105" s="136"/>
      <c r="P105" s="136"/>
      <c r="Q105" s="136"/>
      <c r="R105" s="136"/>
      <c r="S105" s="136"/>
      <c r="T105" s="136"/>
      <c r="U105" s="136"/>
    </row>
    <row r="106" spans="1:30">
      <c r="A106" s="136"/>
      <c r="B106" s="136"/>
      <c r="C106" s="136"/>
      <c r="D106" s="136"/>
      <c r="E106" s="136"/>
      <c r="F106" s="136"/>
      <c r="G106" s="136"/>
      <c r="H106" s="136"/>
      <c r="I106" s="136"/>
      <c r="J106" s="136"/>
      <c r="K106" s="136"/>
      <c r="L106" s="136"/>
      <c r="M106" s="136"/>
      <c r="N106" s="136"/>
      <c r="O106" s="136"/>
      <c r="P106" s="136"/>
      <c r="Q106" s="136"/>
      <c r="R106" s="136"/>
      <c r="S106" s="136"/>
      <c r="T106" s="136"/>
      <c r="U106" s="136"/>
    </row>
    <row r="107" spans="1:30">
      <c r="A107" s="136"/>
      <c r="B107" s="136"/>
      <c r="C107" s="136"/>
      <c r="D107" s="136"/>
      <c r="E107" s="136"/>
      <c r="F107" s="136"/>
      <c r="G107" s="136"/>
      <c r="H107" s="136"/>
      <c r="I107" s="136"/>
      <c r="J107" s="136"/>
      <c r="K107" s="136"/>
      <c r="L107" s="136"/>
      <c r="M107" s="136"/>
      <c r="N107" s="136"/>
      <c r="O107" s="136"/>
      <c r="P107" s="136"/>
      <c r="Q107" s="136"/>
      <c r="R107" s="136"/>
      <c r="S107" s="136"/>
      <c r="T107" s="136"/>
      <c r="U107" s="136"/>
    </row>
    <row r="108" spans="1:30">
      <c r="A108" s="136"/>
      <c r="B108" s="136"/>
      <c r="C108" s="136"/>
      <c r="D108" s="136"/>
      <c r="E108" s="136"/>
      <c r="F108" s="136"/>
      <c r="G108" s="136"/>
      <c r="H108" s="136"/>
      <c r="I108" s="136"/>
      <c r="J108" s="136"/>
      <c r="K108" s="136"/>
      <c r="L108" s="136"/>
      <c r="M108" s="136"/>
      <c r="N108" s="136"/>
      <c r="O108" s="136"/>
      <c r="P108" s="136"/>
      <c r="Q108" s="136"/>
      <c r="R108" s="136"/>
      <c r="S108" s="136"/>
      <c r="T108" s="136"/>
      <c r="U108" s="136"/>
    </row>
    <row r="109" spans="1:30">
      <c r="A109" s="136"/>
      <c r="B109" s="136"/>
      <c r="C109" s="136"/>
      <c r="D109" s="136"/>
      <c r="E109" s="136"/>
      <c r="F109" s="136"/>
      <c r="G109" s="136"/>
      <c r="H109" s="136"/>
      <c r="I109" s="136"/>
      <c r="J109" s="136"/>
      <c r="K109" s="136"/>
      <c r="L109" s="136"/>
      <c r="M109" s="136"/>
      <c r="N109" s="136"/>
      <c r="O109" s="136"/>
      <c r="P109" s="136"/>
      <c r="Q109" s="136"/>
      <c r="R109" s="136"/>
      <c r="S109" s="136"/>
      <c r="T109" s="136"/>
      <c r="U109" s="136"/>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F6"/>
  <sheetViews>
    <sheetView zoomScale="60" zoomScaleNormal="60" workbookViewId="0">
      <selection activeCell="M6" sqref="M6"/>
    </sheetView>
  </sheetViews>
  <sheetFormatPr defaultRowHeight="15"/>
  <cols>
    <col min="18" max="18" width="14.85546875" bestFit="1" customWidth="1"/>
  </cols>
  <sheetData>
    <row r="1" spans="1:32" ht="23.25">
      <c r="A1" s="15"/>
      <c r="B1" s="15"/>
      <c r="C1" s="15"/>
      <c r="D1" s="15"/>
      <c r="E1" s="15"/>
      <c r="F1" s="15"/>
      <c r="G1" s="15"/>
      <c r="H1" s="15"/>
      <c r="I1" s="15"/>
      <c r="J1" s="15"/>
      <c r="K1" s="15"/>
      <c r="L1" s="15"/>
      <c r="M1" s="15"/>
      <c r="N1" s="86"/>
      <c r="O1" s="86"/>
      <c r="P1" s="86"/>
    </row>
    <row r="2" spans="1:32" ht="18.75" thickBot="1">
      <c r="A2" s="16" t="s">
        <v>0</v>
      </c>
      <c r="B2" s="16"/>
      <c r="C2" s="16"/>
      <c r="D2" s="16"/>
      <c r="E2" s="16"/>
      <c r="F2" s="16"/>
      <c r="G2" s="16"/>
      <c r="H2" s="16"/>
      <c r="I2" s="16"/>
      <c r="J2" s="16"/>
      <c r="K2" s="16"/>
      <c r="L2" s="16"/>
      <c r="M2" s="16"/>
      <c r="N2" s="87"/>
      <c r="O2" s="87"/>
      <c r="P2" s="87"/>
    </row>
    <row r="3" spans="1:32" ht="38.25">
      <c r="A3" s="24" t="s">
        <v>106</v>
      </c>
      <c r="B3" s="47" t="s">
        <v>103</v>
      </c>
      <c r="C3" s="48" t="s">
        <v>104</v>
      </c>
      <c r="D3" s="49" t="s">
        <v>105</v>
      </c>
      <c r="E3" s="46" t="s">
        <v>85</v>
      </c>
      <c r="F3" s="46" t="s">
        <v>89</v>
      </c>
      <c r="G3" s="46" t="s">
        <v>86</v>
      </c>
      <c r="H3" s="46" t="s">
        <v>87</v>
      </c>
      <c r="I3" s="46" t="s">
        <v>88</v>
      </c>
      <c r="J3" s="46" t="s">
        <v>96</v>
      </c>
      <c r="K3" s="46" t="s">
        <v>97</v>
      </c>
      <c r="L3" s="46" t="s">
        <v>94</v>
      </c>
      <c r="M3" s="46" t="s">
        <v>98</v>
      </c>
      <c r="N3" s="88" t="s">
        <v>99</v>
      </c>
      <c r="O3" s="88" t="s">
        <v>100</v>
      </c>
      <c r="P3" s="89" t="s">
        <v>102</v>
      </c>
    </row>
    <row r="4" spans="1:32">
      <c r="A4" s="100" t="s">
        <v>3</v>
      </c>
      <c r="B4" s="101">
        <v>1</v>
      </c>
      <c r="C4" s="102"/>
      <c r="D4" s="103"/>
      <c r="E4" s="91">
        <v>-3.2115668866133399E-3</v>
      </c>
      <c r="F4" s="91">
        <v>-5.6469956769889902E-3</v>
      </c>
      <c r="G4" s="91">
        <v>6.2292737667654402E-4</v>
      </c>
      <c r="H4" s="91">
        <v>1.2173399528271601E-3</v>
      </c>
      <c r="I4" s="91">
        <v>-2.9107343357368601E-3</v>
      </c>
      <c r="J4" s="91">
        <v>6.84197140311629E-3</v>
      </c>
      <c r="K4" s="91">
        <v>-2.5485691505968099E-3</v>
      </c>
      <c r="L4" s="91">
        <v>2.6847353195226902E-3</v>
      </c>
      <c r="M4" s="91">
        <v>-3.67551938675444E-3</v>
      </c>
      <c r="N4" s="91">
        <v>2.8599843281796201E-3</v>
      </c>
      <c r="O4" s="91">
        <v>3.3413818757740601E-3</v>
      </c>
      <c r="P4" s="104">
        <v>-7.1954593745334802E-3</v>
      </c>
      <c r="R4">
        <f>E4*E4</f>
        <v>1.0314161867191302E-5</v>
      </c>
      <c r="S4" s="97">
        <f t="shared" ref="S4:AC4" si="0">F4*F4</f>
        <v>3.1888560175932344E-5</v>
      </c>
      <c r="T4" s="97">
        <f t="shared" si="0"/>
        <v>3.8803851661312098E-7</v>
      </c>
      <c r="U4" s="97">
        <f t="shared" si="0"/>
        <v>1.4819165607492323E-6</v>
      </c>
      <c r="V4" s="97">
        <f t="shared" si="0"/>
        <v>8.4723743732375001E-6</v>
      </c>
      <c r="W4" s="97">
        <f t="shared" si="0"/>
        <v>4.6812572681061093E-5</v>
      </c>
      <c r="X4" s="97">
        <f t="shared" si="0"/>
        <v>6.4952047153737452E-6</v>
      </c>
      <c r="Y4" s="97">
        <f t="shared" si="0"/>
        <v>7.2078037358926011E-6</v>
      </c>
      <c r="Z4" s="97">
        <f t="shared" si="0"/>
        <v>1.3509442762407735E-5</v>
      </c>
      <c r="AA4" s="97">
        <f t="shared" si="0"/>
        <v>8.1795103574330324E-6</v>
      </c>
      <c r="AB4" s="97">
        <f t="shared" si="0"/>
        <v>1.1164832839751375E-5</v>
      </c>
      <c r="AC4" s="97">
        <f t="shared" si="0"/>
        <v>5.1774635610561745E-5</v>
      </c>
      <c r="AE4">
        <f>SQRT(SUM(R4:Z4))</f>
        <v>1.1250336678893601E-2</v>
      </c>
      <c r="AF4">
        <f>SQRT(SUM(R4:AC4))</f>
        <v>1.4060193960120352E-2</v>
      </c>
    </row>
    <row r="5" spans="1:32">
      <c r="A5" s="100" t="s">
        <v>7</v>
      </c>
      <c r="B5" s="101">
        <v>1</v>
      </c>
      <c r="C5" s="102"/>
      <c r="D5" s="103"/>
      <c r="E5" s="91">
        <v>-4.3017610129231698E-3</v>
      </c>
      <c r="F5" s="91">
        <v>-6.1868533698421196E-3</v>
      </c>
      <c r="G5" s="91">
        <v>2.9311091190998E-4</v>
      </c>
      <c r="H5" s="91">
        <v>1.24221962705794E-3</v>
      </c>
      <c r="I5" s="91">
        <v>-1.5692836170613999E-3</v>
      </c>
      <c r="J5" s="91">
        <v>1.14427076032112E-2</v>
      </c>
      <c r="K5" s="91">
        <v>3.55542304414225E-3</v>
      </c>
      <c r="L5" s="91">
        <v>2.9416015090206501E-3</v>
      </c>
      <c r="M5" s="91">
        <v>7.2675636374928498E-4</v>
      </c>
      <c r="N5" s="91">
        <v>3.0582840228092602E-3</v>
      </c>
      <c r="O5" s="91">
        <v>2.538672571E-3</v>
      </c>
      <c r="P5" s="104">
        <v>-7.5636025271433099E-3</v>
      </c>
      <c r="R5" s="97">
        <f>E5*E5</f>
        <v>1.8505147812305774E-5</v>
      </c>
      <c r="S5" s="97">
        <f t="shared" ref="S5" si="1">F5*F5</f>
        <v>3.8277154619926793E-5</v>
      </c>
      <c r="T5" s="97">
        <f t="shared" ref="T5" si="2">G5*G5</f>
        <v>8.5914006680700061E-8</v>
      </c>
      <c r="U5" s="97">
        <f t="shared" ref="U5" si="3">H5*H5</f>
        <v>1.5431096018479675E-6</v>
      </c>
      <c r="V5" s="97">
        <f t="shared" ref="V5" si="4">I5*I5</f>
        <v>2.4626510707773106E-6</v>
      </c>
      <c r="W5" s="97">
        <f t="shared" ref="W5" si="5">J5*J5</f>
        <v>1.309355572925874E-4</v>
      </c>
      <c r="X5" s="97">
        <f t="shared" ref="X5" si="6">K5*K5</f>
        <v>1.2641033022817745E-5</v>
      </c>
      <c r="Y5" s="97">
        <f t="shared" ref="Y5" si="7">L5*L5</f>
        <v>8.653019437872566E-6</v>
      </c>
      <c r="Z5" s="97">
        <f t="shared" ref="Z5" si="8">M5*M5</f>
        <v>5.2817481225008307E-7</v>
      </c>
      <c r="AA5" s="97">
        <f t="shared" ref="AA5" si="9">N5*N5</f>
        <v>9.3531011641703924E-6</v>
      </c>
      <c r="AB5" s="97">
        <f t="shared" ref="AB5" si="10">O5*O5</f>
        <v>6.4448584227477497E-6</v>
      </c>
      <c r="AC5" s="97">
        <f t="shared" ref="AC5" si="11">P5*P5</f>
        <v>5.7208083188608663E-5</v>
      </c>
      <c r="AE5" s="97">
        <f>SQRT(SUM(R5:Z5))</f>
        <v>1.4616147292534595E-2</v>
      </c>
      <c r="AF5" s="97">
        <f>SQRT(SUM(R5:AC5))</f>
        <v>1.6930381107718547E-2</v>
      </c>
    </row>
    <row r="6" spans="1:32">
      <c r="E6" s="84">
        <f>E4-E5</f>
        <v>1.0901941263098298E-3</v>
      </c>
      <c r="F6" s="84">
        <f t="shared" ref="F6:P6" si="12">F4-F5</f>
        <v>5.3985769285312939E-4</v>
      </c>
      <c r="G6" s="84">
        <f t="shared" si="12"/>
        <v>3.2981646476656402E-4</v>
      </c>
      <c r="H6" s="84">
        <f t="shared" si="12"/>
        <v>-2.4879674230779934E-5</v>
      </c>
      <c r="I6" s="84">
        <f t="shared" si="12"/>
        <v>-1.3414507186754602E-3</v>
      </c>
      <c r="J6" s="105">
        <f t="shared" si="12"/>
        <v>-4.6007362000949096E-3</v>
      </c>
      <c r="K6" s="105">
        <f t="shared" si="12"/>
        <v>-6.1039921947390599E-3</v>
      </c>
      <c r="L6" s="84">
        <f t="shared" si="12"/>
        <v>-2.5686618949795998E-4</v>
      </c>
      <c r="M6" s="105">
        <f t="shared" si="12"/>
        <v>-4.4022757505037249E-3</v>
      </c>
      <c r="N6" s="84">
        <f t="shared" si="12"/>
        <v>-1.9829969462964014E-4</v>
      </c>
      <c r="O6" s="84">
        <f t="shared" si="12"/>
        <v>8.0270930477406013E-4</v>
      </c>
      <c r="P6" s="84">
        <f t="shared" si="12"/>
        <v>3.6814315260982975E-4</v>
      </c>
      <c r="R6">
        <f t="shared" ref="R6:AC6" si="13">E4*E5</f>
        <v>1.3815393223228312E-5</v>
      </c>
      <c r="S6" s="97">
        <f t="shared" si="13"/>
        <v>3.4937134233663215E-5</v>
      </c>
      <c r="T6" s="97">
        <f t="shared" si="13"/>
        <v>1.8258681143135343E-7</v>
      </c>
      <c r="U6" s="97">
        <f t="shared" si="13"/>
        <v>1.5122035822036851E-6</v>
      </c>
      <c r="V6" s="97">
        <f t="shared" si="13"/>
        <v>4.5677677066899508E-6</v>
      </c>
      <c r="W6" s="97">
        <f t="shared" si="13"/>
        <v>7.8290678195392367E-5</v>
      </c>
      <c r="X6" s="97">
        <f t="shared" si="13"/>
        <v>-9.0612414876219373E-6</v>
      </c>
      <c r="Y6" s="97">
        <f t="shared" si="13"/>
        <v>7.8974214672289818E-6</v>
      </c>
      <c r="Z6" s="97">
        <f t="shared" si="13"/>
        <v>-2.6712071044076586E-6</v>
      </c>
      <c r="AA6" s="97">
        <f t="shared" si="13"/>
        <v>8.7466443763566088E-6</v>
      </c>
      <c r="AB6" s="97">
        <f t="shared" si="13"/>
        <v>8.4826745172641353E-6</v>
      </c>
      <c r="AC6" s="97">
        <f t="shared" si="13"/>
        <v>5.4423594709178452E-5</v>
      </c>
      <c r="AE6">
        <f>SUM(R6:Z6)/AE4/AE5</f>
        <v>0.78735971163436957</v>
      </c>
      <c r="AF6">
        <f>SUM(R6:AC6)/AF4/AF5</f>
        <v>0.84489958420161415</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i="http://www.w3.org/2001/XMLSchema-instance" xmlns:xsd="http://www.w3.org/2001/XMLSchema" xmlns="http://www.boldonjames.com/2008/01/sie/internal/label" sislVersion="0" policy="e56daa8a-7b27-48ac-85d4-db65acb580b6" origin="userSelected">
  <element uid="76cb6641-65c9-4928-b1aa-841d1b5bdb86" value=""/>
  <element uid="49330798-7003-4e86-8332-af49f20564a6" value=""/>
  <element uid="ec6abd3b-c0d6-4fa7-a60a-349d0f822e3b" value=""/>
  <element uid="46fe2329-c02b-4495-b624-12a499d069e2" value=""/>
  <element uid="8b2d8d36-50e9-4e35-b179-b787235cbfe0" value=""/>
  <element uid="4e6de3aa-05b4-44be-8ba7-88d05d9c671d" value=""/>
</sisl>
</file>

<file path=customXml/item2.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c2Y2I2NjQxLTY1YzktNDkyOC1iMWFhLTg0MWQxYjViZGI4NiIgdmFsdWU9IiIgeG1sbnM9Imh0dHA6Ly93d3cuYm9sZG9uamFtZXMuY29tLzIwMDgvMDEvc2llL2ludGVybmFsL2xhYmVsIiAvPjxlbGVtZW50IHVpZD0iNDkzMzA3OTgtNzAwMy00ZTg2LTgzMzItYWY0OWYyMDU2NGE2IiB2YWx1ZT0iIiB4bWxucz0iaHR0cDovL3d3dy5ib2xkb25qYW1lcy5jb20vMjAwOC8wMS9zaWUvaW50ZXJuYWwvbGFiZWwiIC8+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xlbGVtZW50IHVpZD0iOGIyZDhkMzYtNTBlOS00ZTM1LWIxNzktYjc4NzIzNWNiZmUwIiB2YWx1ZT0iIiB4bWxucz0iaHR0cDovL3d3dy5ib2xkb25qYW1lcy5jb20vMjAwOC8wMS9zaWUvaW50ZXJuYWwvbGFiZWwiIC8+PGVsZW1lbnQgdWlkPSI0ZTZkZTNhYS0wNWI0LTQ0YmUtOGJhNy04OGQwNWQ5YzY3MWQiIHZhbHVlPSIiIHhtbG5zPSJodHRwOi8vd3d3LmJvbGRvbmphbWVzLmNvbS8yMDA4LzAxL3NpZS9pbnRlcm5hbC9sYWJlbCIgLz48L3Npc2w+PFVzZXJOYW1lPlJSTE9DQUxcdTQwMzk2NTwvVXNlck5hbWU+PERhdGVUaW1lPjAyLzAyLzIwMjEgMjA6NDA6NDA8L0RhdGVUaW1lPjxMYWJlbFN0cmluZz5Ob24tQ29uZmlkZW50aWFsIC0gUm9sbHMtUm95Y2UgQ29udGVudCBPbmx5IC0gTm90IFN1YmplY3QgdG8gRXhwb3J0IENvbnRyb2wgICAgIDwvTGFiZWxTdHJpbmc+PC9pdGVtPjwvbGFiZWxIaXN0b3J5Pg==</Value>
</WrappedLabelHistory>
</file>

<file path=customXml/itemProps1.xml><?xml version="1.0" encoding="utf-8"?>
<ds:datastoreItem xmlns:ds="http://schemas.openxmlformats.org/officeDocument/2006/customXml" ds:itemID="{AC2A99AE-A119-4169-B622-95F4E56885D6}">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25CFCCA4-33C2-4379-B8A3-B03B3F7D92A0}">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Version Control</vt:lpstr>
      <vt:lpstr>Information</vt:lpstr>
      <vt:lpstr>Cruise Solver Input Sheet</vt:lpstr>
      <vt:lpstr>Takeoff Solver Input Sheet</vt:lpstr>
      <vt:lpstr>Climb Solver Input Sheet</vt:lpstr>
      <vt:lpstr>Sheet1</vt:lpstr>
      <vt:lpstr>Sheet2</vt:lpstr>
    </vt:vector>
  </TitlesOfParts>
  <Company>Rolls-Royce Plc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Sutherland, James</dc:creator>
  <cp:keywords>|1:Non-Conf|5:NonExpCont|6:NonGov|2:Rolls-Royce|20:PerData|22:No|</cp:keywords>
  <cp:lastModifiedBy>Brooks, Richard</cp:lastModifiedBy>
  <dcterms:created xsi:type="dcterms:W3CDTF">2019-08-21T15:16:01Z</dcterms:created>
  <dcterms:modified xsi:type="dcterms:W3CDTF">2021-07-01T08:23:25Z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58931bed-7cf2-44ee-892f-9f4655c84f5d</vt:lpwstr>
  </property>
  <property fmtid="{D5CDD505-2E9C-101B-9397-08002B2CF9AE}" pid="3" name="bjSaver">
    <vt:lpwstr>v4m9TtGuJ3cnerILl7nHjlrJTxYVAFrf</vt:lpwstr>
  </property>
  <property fmtid="{D5CDD505-2E9C-101B-9397-08002B2CF9AE}" pid="4"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5" name="bjDocumentLabelXML-0">
    <vt:lpwstr>ames.com/2008/01/sie/internal/label"&gt;&lt;element uid="76cb6641-65c9-4928-b1aa-841d1b5bdb86" value="" /&gt;&lt;element uid="49330798-7003-4e86-8332-af49f20564a6" value="" /&gt;&lt;element uid="ec6abd3b-c0d6-4fa7-a60a-349d0f822e3b" value="" /&gt;&lt;element uid="46fe2329-c02b-4</vt:lpwstr>
  </property>
  <property fmtid="{D5CDD505-2E9C-101B-9397-08002B2CF9AE}" pid="6" name="bjDocumentLabelXML-1">
    <vt:lpwstr>495-b624-12a499d069e2" value="" /&gt;&lt;element uid="8b2d8d36-50e9-4e35-b179-b787235cbfe0" value="" /&gt;&lt;element uid="4e6de3aa-05b4-44be-8ba7-88d05d9c671d" value="" /&gt;&lt;/sisl&gt;</vt:lpwstr>
  </property>
  <property fmtid="{D5CDD505-2E9C-101B-9397-08002B2CF9AE}" pid="7" name="bjDocumentSecurityLabel">
    <vt:lpwstr>Non-Confidential - Rolls-Royce Content Only - Not Subject to Export Control     </vt:lpwstr>
  </property>
  <property fmtid="{D5CDD505-2E9C-101B-9397-08002B2CF9AE}" pid="8" name="GovSecClass">
    <vt:lpwstr>No_Classification</vt:lpwstr>
  </property>
  <property fmtid="{D5CDD505-2E9C-101B-9397-08002B2CF9AE}" pid="9" name="Ownership">
    <vt:lpwstr>Rolls-Royce_content_only</vt:lpwstr>
  </property>
  <property fmtid="{D5CDD505-2E9C-101B-9397-08002B2CF9AE}" pid="10" name="TCGovSecClass">
    <vt:lpwstr>No_Classification</vt:lpwstr>
  </property>
  <property fmtid="{D5CDD505-2E9C-101B-9397-08002B2CF9AE}" pid="11" name="ExportControlled">
    <vt:lpwstr>Not_Subject_to_Export_Control</vt:lpwstr>
  </property>
  <property fmtid="{D5CDD505-2E9C-101B-9397-08002B2CF9AE}" pid="12" name="BusinessSensitivity">
    <vt:lpwstr>Non-Confidential</vt:lpwstr>
  </property>
  <property fmtid="{D5CDD505-2E9C-101B-9397-08002B2CF9AE}" pid="13" name="DataPrivacy">
    <vt:lpwstr>Personal_Data</vt:lpwstr>
  </property>
  <property fmtid="{D5CDD505-2E9C-101B-9397-08002B2CF9AE}" pid="14" name="bjLabelHistoryID">
    <vt:lpwstr>{25CFCCA4-33C2-4379-B8A3-B03B3F7D92A0}</vt:lpwstr>
  </property>
</Properties>
</file>